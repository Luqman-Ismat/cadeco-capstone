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2" activeTab="5" autoFilterDateGrouping="1"/>
  </bookViews>
  <sheets>
    <sheet xmlns:r="http://schemas.openxmlformats.org/officeDocument/2006/relationships" name="Target SKU Analysis" sheetId="1" state="visible" r:id="rId1"/>
    <sheet xmlns:r="http://schemas.openxmlformats.org/officeDocument/2006/relationships" name="Amazon SKU Analysis" sheetId="2" state="visible" r:id="rId2"/>
    <sheet xmlns:r="http://schemas.openxmlformats.org/officeDocument/2006/relationships" name="Design A-Rack 30 Map" sheetId="3" state="visible" r:id="rId3"/>
    <sheet xmlns:r="http://schemas.openxmlformats.org/officeDocument/2006/relationships" name="Design A-Rack 31 Map" sheetId="4" state="visible" r:id="rId4"/>
    <sheet xmlns:r="http://schemas.openxmlformats.org/officeDocument/2006/relationships" name="Cell Assignment Matrix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Staging Area Design" sheetId="7" state="visible" r:id="rId7"/>
    <sheet xmlns:r="http://schemas.openxmlformats.org/officeDocument/2006/relationships" name="NVA Metrics Comparison" sheetId="8" state="visible" r:id="rId8"/>
    <sheet xmlns:r="http://schemas.openxmlformats.org/officeDocument/2006/relationships" name="Design B — Rack Map" sheetId="9" state="visible" r:id="rId9"/>
    <sheet xmlns:r="http://schemas.openxmlformats.org/officeDocument/2006/relationships" name="Design B — SKU Tables" sheetId="10" state="visible" r:id="rId10"/>
    <sheet xmlns:r="http://schemas.openxmlformats.org/officeDocument/2006/relationships" name="Design B - Rationale" sheetId="11" state="visible" r:id="rId11"/>
    <sheet xmlns:r="http://schemas.openxmlformats.org/officeDocument/2006/relationships" name="Design C - Rack Map" sheetId="12" state="visible" r:id="rId12"/>
    <sheet xmlns:r="http://schemas.openxmlformats.org/officeDocument/2006/relationships" name="Design C - SKU Tables" sheetId="13" state="visible" r:id="rId13"/>
    <sheet xmlns:r="http://schemas.openxmlformats.org/officeDocument/2006/relationships" name="Design C — Rationale" sheetId="14" state="visible" r:id="rId14"/>
    <sheet xmlns:r="http://schemas.openxmlformats.org/officeDocument/2006/relationships" name="Design Comparison" sheetId="15" state="visible" r:id="rId15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6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3"/>
    </font>
    <font>
      <name val="Arial"/>
      <charset val="1"/>
      <family val="2"/>
      <i val="1"/>
      <color rgb="FFCC0000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rgb="FFFFFFFF"/>
      <sz val="12"/>
    </font>
    <font>
      <name val="Arial"/>
      <charset val="1"/>
      <family val="2"/>
      <color rgb="FF595959"/>
      <sz val="9"/>
    </font>
    <font>
      <name val="Arial"/>
      <charset val="1"/>
      <family val="2"/>
      <i val="1"/>
      <color rgb="FF595959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color rgb="FFFFFFFF"/>
      <sz val="10"/>
    </font>
    <font>
      <name val="Arial"/>
      <charset val="1"/>
      <family val="2"/>
      <i val="1"/>
      <color rgb="FF232F3E"/>
      <sz val="9"/>
    </font>
    <font>
      <name val="Arial"/>
      <charset val="1"/>
      <family val="2"/>
      <color rgb="FFFF0000"/>
      <sz val="10"/>
    </font>
    <font>
      <name val="Arial"/>
      <charset val="1"/>
      <family val="2"/>
      <i val="1"/>
      <color rgb="FF1F3864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595959"/>
      <sz val="8"/>
    </font>
    <font>
      <name val="Arial"/>
      <charset val="1"/>
      <family val="2"/>
      <b val="1"/>
      <color rgb="FFCC0000"/>
      <sz val="8"/>
    </font>
    <font>
      <name val="Arial"/>
      <charset val="1"/>
      <family val="2"/>
      <color rgb="FFAAAAAA"/>
      <sz val="8"/>
    </font>
    <font>
      <name val="Arial"/>
      <charset val="1"/>
      <family val="2"/>
      <b val="1"/>
      <color rgb="FFFF9900"/>
      <sz val="8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CC0000"/>
      <sz val="9"/>
    </font>
    <font>
      <name val="Arial"/>
      <charset val="1"/>
      <family val="2"/>
      <color rgb="FF000000"/>
      <sz val="9"/>
    </font>
    <font>
      <name val="Arial"/>
      <charset val="1"/>
      <family val="2"/>
      <b val="1"/>
      <sz val="10"/>
    </font>
    <font>
      <name val="Arial"/>
      <charset val="1"/>
      <family val="2"/>
      <i val="1"/>
      <color rgb="FF595959"/>
      <sz val="8"/>
    </font>
    <font>
      <name val="Arial"/>
      <charset val="1"/>
      <family val="2"/>
      <b val="1"/>
      <color rgb="FFFF9900"/>
      <sz val="9"/>
    </font>
    <font>
      <name val="Arial"/>
      <charset val="1"/>
      <family val="2"/>
      <b val="1"/>
      <color rgb="FF595959"/>
      <sz val="9"/>
    </font>
    <font>
      <name val="Arial"/>
      <charset val="1"/>
      <family val="2"/>
      <b val="1"/>
      <color rgb="FFFFFFFF"/>
      <sz val="15"/>
    </font>
    <font>
      <name val="Arial"/>
      <charset val="1"/>
      <family val="2"/>
      <b val="1"/>
      <color rgb="FF000000"/>
      <sz val="9"/>
    </font>
    <font>
      <name val="Arial"/>
      <charset val="1"/>
      <family val="2"/>
      <b val="1"/>
      <color rgb="FF000000"/>
      <sz val="14"/>
    </font>
    <font>
      <name val="Arial"/>
      <charset val="1"/>
      <family val="2"/>
      <color rgb="FFAAAAAA"/>
      <sz val="9"/>
    </font>
    <font>
      <name val="Arial"/>
      <charset val="1"/>
      <family val="2"/>
      <color rgb="FF9CA3AF"/>
      <sz val="10"/>
    </font>
    <font>
      <name val="Arial"/>
      <charset val="1"/>
      <family val="2"/>
      <b val="1"/>
      <color rgb="FF1A1A1A"/>
      <sz val="10"/>
    </font>
    <font>
      <name val="Arial"/>
      <charset val="1"/>
      <family val="2"/>
      <color rgb="FF374151"/>
      <sz val="10"/>
    </font>
    <font>
      <name val="Arial"/>
      <charset val="1"/>
      <family val="2"/>
      <b val="1"/>
      <color rgb="FF111827"/>
      <sz val="10"/>
    </font>
    <font>
      <name val="Arial"/>
      <charset val="1"/>
      <family val="2"/>
      <b val="1"/>
      <color rgb="FFC8102E"/>
      <sz val="10"/>
    </font>
    <font>
      <name val="Arial"/>
      <charset val="1"/>
      <family val="2"/>
      <color rgb="FF1D4ED8"/>
      <sz val="10"/>
    </font>
    <font>
      <name val="Arial"/>
      <charset val="1"/>
      <family val="2"/>
      <color rgb="FF6B7280"/>
      <sz val="10"/>
    </font>
    <font>
      <name val="Arial"/>
      <charset val="1"/>
      <family val="2"/>
      <b val="1"/>
      <color rgb="FF166534"/>
      <sz val="10"/>
    </font>
    <font>
      <name val="Arial"/>
      <charset val="1"/>
      <family val="2"/>
      <b val="1"/>
      <color rgb="FF78350F"/>
      <sz val="10"/>
    </font>
    <font>
      <name val="Arial"/>
      <charset val="1"/>
      <family val="2"/>
      <b val="1"/>
      <color rgb="FFD97706"/>
      <sz val="10"/>
    </font>
    <font>
      <name val="Arial"/>
      <charset val="1"/>
      <family val="2"/>
      <color rgb="FF78350F"/>
      <sz val="10"/>
    </font>
    <font>
      <name val="Arial"/>
      <charset val="1"/>
      <family val="2"/>
      <b val="1"/>
      <color rgb="FF1D4ED8"/>
      <sz val="10"/>
    </font>
    <font>
      <name val="Arial"/>
      <charset val="1"/>
      <family val="2"/>
      <b val="1"/>
      <color rgb="FF374151"/>
      <sz val="10"/>
    </font>
    <font>
      <name val="Arial"/>
      <charset val="1"/>
      <family val="2"/>
      <color rgb="FF166534"/>
      <sz val="10"/>
    </font>
    <font>
      <name val="Arial"/>
      <charset val="1"/>
      <family val="2"/>
      <b val="1"/>
      <color rgb="FF22C55E"/>
      <sz val="11"/>
    </font>
    <font>
      <name val="Arial"/>
      <family val="2"/>
      <b val="1"/>
      <color rgb="FFFFFFFF"/>
      <sz val="12"/>
    </font>
    <font>
      <name val="Arial"/>
      <family val="2"/>
      <i val="1"/>
      <color rgb="FF17677A"/>
      <sz val="9"/>
    </font>
    <font>
      <name val="Arial"/>
      <family val="2"/>
      <i val="1"/>
      <color rgb="FF1F3864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595959"/>
      <sz val="8"/>
    </font>
    <font>
      <name val="Arial"/>
      <family val="2"/>
      <b val="1"/>
      <color rgb="FFCC0000"/>
      <sz val="8"/>
    </font>
    <font>
      <name val="Arial"/>
      <family val="2"/>
      <color rgb="FFBBBBBB"/>
      <sz val="8"/>
    </font>
    <font>
      <name val="Arial"/>
      <family val="2"/>
      <b val="1"/>
      <color rgb="FF1F3864"/>
      <sz val="9"/>
    </font>
    <font>
      <name val="Arial"/>
      <family val="2"/>
      <b val="1"/>
      <color rgb="FFFF9900"/>
      <sz val="8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FFFFFF"/>
      <sz val="13"/>
    </font>
    <font>
      <name val="Arial"/>
      <family val="2"/>
      <color rgb="FF1F3864"/>
      <sz val="10"/>
    </font>
    <font>
      <name val="Arial"/>
      <family val="2"/>
      <i val="1"/>
      <color rgb="FF5B2C6F"/>
      <sz val="9"/>
    </font>
    <font>
      <name val="Arial"/>
      <family val="2"/>
      <color rgb="FF595959"/>
      <sz val="9"/>
    </font>
    <font>
      <name val="Arial"/>
      <b val="1"/>
      <color rgb="00166534"/>
      <sz val="10"/>
    </font>
    <font>
      <name val="Arial"/>
      <b val="1"/>
      <color rgb="0092400E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color rgb="00111111"/>
      <sz val="10"/>
    </font>
    <font>
      <name val="Arial"/>
      <i val="1"/>
      <color rgb="006B7280"/>
      <sz val="10"/>
    </font>
    <font>
      <name val="Arial"/>
      <color rgb="006B7280"/>
      <sz val="10"/>
    </font>
  </fonts>
  <fills count="59">
    <fill>
      <patternFill/>
    </fill>
    <fill>
      <patternFill patternType="gray125"/>
    </fill>
    <fill>
      <patternFill patternType="solid">
        <fgColor theme="5" tint="-0.249977111117893"/>
        <bgColor rgb="FF78350F"/>
      </patternFill>
    </fill>
    <fill>
      <patternFill patternType="solid">
        <fgColor rgb="FFFDECEA"/>
        <bgColor rgb="FFFFF3E0"/>
      </patternFill>
    </fill>
    <fill>
      <patternFill patternType="solid">
        <fgColor rgb="FFFFFFFF"/>
        <bgColor rgb="FFFFFCF0"/>
      </patternFill>
    </fill>
    <fill>
      <patternFill patternType="solid">
        <fgColor rgb="FFC6EFCE"/>
        <bgColor rgb="FFD6EEF2"/>
      </patternFill>
    </fill>
    <fill>
      <patternFill patternType="solid">
        <fgColor rgb="FF1F7A1F"/>
        <bgColor rgb="FF2E8B2E"/>
      </patternFill>
    </fill>
    <fill>
      <patternFill patternType="solid">
        <fgColor rgb="FFFFEB9C"/>
        <bgColor rgb="FFFEF3C7"/>
      </patternFill>
    </fill>
    <fill>
      <patternFill patternType="solid">
        <fgColor rgb="FF2E8B2E"/>
        <bgColor rgb="FF1F7A1F"/>
      </patternFill>
    </fill>
    <fill>
      <patternFill patternType="solid">
        <fgColor rgb="FFFFC7CE"/>
        <bgColor rgb="FFE8D5F5"/>
      </patternFill>
    </fill>
    <fill>
      <patternFill patternType="solid">
        <fgColor rgb="FFED7D27"/>
        <bgColor rgb="FFF59E0B"/>
      </patternFill>
    </fill>
    <fill>
      <patternFill patternType="solid">
        <fgColor rgb="FF232F3E"/>
        <bgColor rgb="FF333333"/>
      </patternFill>
    </fill>
    <fill>
      <patternFill patternType="solid">
        <fgColor rgb="FFFFF3E0"/>
        <bgColor rgb="FFFFF7ED"/>
      </patternFill>
    </fill>
    <fill>
      <patternFill patternType="solid">
        <fgColor rgb="FF1F3864"/>
        <bgColor rgb="FF232F3E"/>
      </patternFill>
    </fill>
    <fill>
      <patternFill patternType="solid">
        <fgColor rgb="FFDEEAF1"/>
        <bgColor rgb="FFD6EEF2"/>
      </patternFill>
    </fill>
    <fill>
      <patternFill patternType="solid">
        <fgColor rgb="FFC00000"/>
        <bgColor rgb="FFCC0000"/>
      </patternFill>
    </fill>
    <fill>
      <patternFill patternType="solid">
        <fgColor rgb="FF2E5FA3"/>
        <bgColor rgb="FF2E75B6"/>
      </patternFill>
    </fill>
    <fill>
      <patternFill patternType="solid">
        <fgColor rgb="FFD6DCE4"/>
        <bgColor rgb="FFD1D5DB"/>
      </patternFill>
    </fill>
    <fill>
      <patternFill patternType="solid">
        <fgColor rgb="FFF2F2F2"/>
        <bgColor rgb="FFF3F4F6"/>
      </patternFill>
    </fill>
    <fill>
      <patternFill patternType="solid">
        <fgColor rgb="FF2E75B6"/>
        <bgColor rgb="FF2E5FA3"/>
      </patternFill>
    </fill>
    <fill>
      <patternFill patternType="solid">
        <fgColor rgb="FF5B5B5D"/>
        <bgColor rgb="FF475569"/>
      </patternFill>
    </fill>
    <fill>
      <patternFill patternType="solid">
        <fgColor rgb="FF375623"/>
        <bgColor rgb="FF3F4347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EE2E2"/>
      </patternFill>
    </fill>
    <fill>
      <patternFill patternType="solid">
        <fgColor rgb="FFCC0000"/>
        <bgColor rgb="FFC00000"/>
      </patternFill>
    </fill>
    <fill>
      <patternFill patternType="solid">
        <fgColor rgb="FFAA0000"/>
        <bgColor rgb="FFC00000"/>
      </patternFill>
    </fill>
    <fill>
      <patternFill patternType="solid">
        <fgColor rgb="FFCC3333"/>
        <bgColor rgb="FFC8102E"/>
      </patternFill>
    </fill>
    <fill>
      <patternFill patternType="solid">
        <fgColor rgb="FFFF9900"/>
        <bgColor rgb="FFF59E0B"/>
      </patternFill>
    </fill>
    <fill>
      <patternFill patternType="solid">
        <fgColor rgb="FF191A1A"/>
        <bgColor rgb="FF232F3E"/>
      </patternFill>
    </fill>
    <fill>
      <patternFill patternType="solid">
        <fgColor rgb="FF333333"/>
        <bgColor rgb="FF232F3E"/>
      </patternFill>
    </fill>
    <fill>
      <patternFill patternType="solid">
        <fgColor rgb="FFC8102E"/>
        <bgColor rgb="FFCC0000"/>
      </patternFill>
    </fill>
    <fill>
      <patternFill patternType="solid">
        <fgColor rgb="FF166534"/>
        <bgColor rgb="FF1F7A1F"/>
      </patternFill>
    </fill>
    <fill>
      <patternFill patternType="solid">
        <fgColor rgb="FF475569"/>
        <bgColor rgb="FF5B5B5D"/>
      </patternFill>
    </fill>
    <fill>
      <patternFill patternType="solid">
        <fgColor rgb="FFDCFCE7"/>
        <bgColor rgb="FFE2EFDA"/>
      </patternFill>
    </fill>
    <fill>
      <patternFill patternType="darkGray">
        <fgColor rgb="FF18B451"/>
        <bgColor rgb="FF2E8B2E"/>
      </patternFill>
    </fill>
    <fill>
      <patternFill patternType="solid">
        <fgColor rgb="FFF59E0B"/>
        <bgColor rgb="FFFF9900"/>
      </patternFill>
    </fill>
    <fill>
      <patternFill patternType="solid">
        <fgColor rgb="FFFEF3C7"/>
        <bgColor rgb="FFFFF3E0"/>
      </patternFill>
    </fill>
    <fill>
      <patternFill patternType="solid">
        <fgColor rgb="FFF1F5F9"/>
        <bgColor rgb="FFF3F4F6"/>
      </patternFill>
    </fill>
    <fill>
      <patternFill patternType="solid">
        <fgColor rgb="FFF8FAFC"/>
        <bgColor rgb="FFFFF8F8"/>
      </patternFill>
    </fill>
    <fill>
      <patternFill patternType="solid">
        <fgColor rgb="FFF3F4F6"/>
        <bgColor rgb="FFF1F5F9"/>
      </patternFill>
    </fill>
    <fill>
      <patternFill patternType="solid">
        <fgColor rgb="FF3F4347"/>
        <bgColor rgb="FF333333"/>
      </patternFill>
    </fill>
    <fill>
      <patternFill patternType="solid">
        <fgColor rgb="FF1D4ED8"/>
        <bgColor rgb="FF2E5FA3"/>
      </patternFill>
    </fill>
    <fill>
      <patternFill patternType="solid">
        <fgColor rgb="FF7B0D1E"/>
        <bgColor rgb="FFAA0000"/>
      </patternFill>
    </fill>
    <fill>
      <patternFill patternType="solid">
        <fgColor rgb="FFFFF8F8"/>
        <bgColor rgb="FFFFF7ED"/>
      </patternFill>
    </fill>
    <fill>
      <patternFill patternType="solid">
        <fgColor rgb="FFFEE2E2"/>
        <bgColor rgb="FFFCE4D6"/>
      </patternFill>
    </fill>
    <fill>
      <patternFill patternType="solid">
        <fgColor rgb="FFF0FFF4"/>
        <bgColor rgb="FFF8FAFC"/>
      </patternFill>
    </fill>
    <fill>
      <patternFill patternType="solid">
        <fgColor rgb="FF78350F"/>
        <bgColor rgb="FF953735"/>
      </patternFill>
    </fill>
    <fill>
      <patternFill patternType="solid">
        <fgColor rgb="FFFFF7ED"/>
        <bgColor rgb="FFFFF8F8"/>
      </patternFill>
    </fill>
    <fill>
      <patternFill patternType="solid">
        <fgColor rgb="FF17677A"/>
        <bgColor rgb="FF2E5FA3"/>
      </patternFill>
    </fill>
    <fill>
      <patternFill patternType="solid">
        <fgColor rgb="FFD6EEF2"/>
        <bgColor rgb="FFDEEAF1"/>
      </patternFill>
    </fill>
    <fill>
      <patternFill patternType="solid">
        <fgColor rgb="FF5B2C6F"/>
        <bgColor rgb="FF3F4347"/>
      </patternFill>
    </fill>
    <fill>
      <patternFill patternType="solid">
        <fgColor rgb="FFE8D5F5"/>
        <bgColor rgb="FFD6DCE4"/>
      </patternFill>
    </fill>
    <fill>
      <patternFill patternType="solid">
        <fgColor theme="0"/>
        <bgColor rgb="FF232F3E"/>
      </patternFill>
    </fill>
    <fill>
      <patternFill patternType="solid">
        <fgColor theme="0"/>
        <bgColor rgb="FFFFF7ED"/>
      </patternFill>
    </fill>
    <fill>
      <patternFill patternType="solid">
        <fgColor rgb="00FEF3C7"/>
        <bgColor rgb="00FEF3C7"/>
      </patternFill>
    </fill>
    <fill>
      <patternFill patternType="solid">
        <fgColor rgb="006B7280"/>
        <bgColor rgb="006B7280"/>
      </patternFill>
    </fill>
    <fill>
      <patternFill patternType="solid">
        <fgColor rgb="001A1A1A"/>
        <bgColor rgb="001A1A1A"/>
      </patternFill>
    </fill>
    <fill>
      <patternFill patternType="solid">
        <fgColor rgb="00F3F4F6"/>
        <bgColor rgb="00F3F4F6"/>
      </patternFill>
    </fill>
    <fill>
      <patternFill patternType="solid">
        <fgColor rgb="00D1FAE5"/>
        <bgColor rgb="00D1FAE5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08">
    <xf numFmtId="0" fontId="0" fillId="0" borderId="0" pivotButton="0" quotePrefix="0" xfId="0"/>
    <xf numFmtId="0" fontId="11" fillId="2" borderId="2" applyAlignment="1" pivotButton="0" quotePrefix="0" xfId="0">
      <alignment horizontal="right" vertical="center" wrapText="1"/>
    </xf>
    <xf numFmtId="0" fontId="11" fillId="28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1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3" pivotButton="0" quotePrefix="0" xfId="0"/>
    <xf numFmtId="0" fontId="3" fillId="11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2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right" vertical="center" wrapText="1"/>
    </xf>
    <xf numFmtId="3" fontId="1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6" fillId="13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17" fillId="1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29" fillId="22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 wrapText="1"/>
    </xf>
    <xf numFmtId="0" fontId="23" fillId="23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30" fillId="9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31" borderId="0" applyAlignment="1" pivotButton="0" quotePrefix="0" xfId="0">
      <alignment horizontal="center" vertical="center" wrapText="1"/>
    </xf>
    <xf numFmtId="0" fontId="3" fillId="32" borderId="0" applyAlignment="1" pivotButton="0" quotePrefix="0" xfId="0">
      <alignment horizontal="center" vertical="center" wrapText="1"/>
    </xf>
    <xf numFmtId="0" fontId="3" fillId="28" borderId="0" applyAlignment="1" pivotButton="0" quotePrefix="0" xfId="0">
      <alignment horizontal="center" vertical="center" wrapText="1"/>
    </xf>
    <xf numFmtId="0" fontId="5" fillId="33" borderId="4" applyAlignment="1" pivotButton="0" quotePrefix="0" xfId="0">
      <alignment horizontal="center" vertical="center"/>
    </xf>
    <xf numFmtId="0" fontId="16" fillId="34" borderId="4" applyAlignment="1" pivotButton="0" quotePrefix="0" xfId="0">
      <alignment horizontal="center" vertical="center"/>
    </xf>
    <xf numFmtId="0" fontId="6" fillId="33" borderId="4" applyAlignment="1" pivotButton="0" quotePrefix="0" xfId="0">
      <alignment horizontal="left" vertical="center" wrapText="1"/>
    </xf>
    <xf numFmtId="0" fontId="6" fillId="33" borderId="4" applyAlignment="1" pivotButton="0" quotePrefix="0" xfId="0">
      <alignment horizontal="center" vertical="center"/>
    </xf>
    <xf numFmtId="0" fontId="16" fillId="35" borderId="4" applyAlignment="1" pivotButton="0" quotePrefix="0" xfId="0">
      <alignment horizontal="center" vertical="center"/>
    </xf>
    <xf numFmtId="0" fontId="5" fillId="36" borderId="4" applyAlignment="1" pivotButton="0" quotePrefix="0" xfId="0">
      <alignment horizontal="center" vertical="center"/>
    </xf>
    <xf numFmtId="0" fontId="6" fillId="36" borderId="4" applyAlignment="1" pivotButton="0" quotePrefix="0" xfId="0">
      <alignment horizontal="left" vertical="center" wrapText="1"/>
    </xf>
    <xf numFmtId="0" fontId="6" fillId="36" borderId="4" applyAlignment="1" pivotButton="0" quotePrefix="0" xfId="0">
      <alignment horizontal="center" vertical="center"/>
    </xf>
    <xf numFmtId="0" fontId="5" fillId="37" borderId="4" applyAlignment="1" pivotButton="0" quotePrefix="0" xfId="0">
      <alignment horizontal="center" vertical="center"/>
    </xf>
    <xf numFmtId="0" fontId="16" fillId="32" borderId="4" applyAlignment="1" pivotButton="0" quotePrefix="0" xfId="0">
      <alignment horizontal="center" vertical="center"/>
    </xf>
    <xf numFmtId="0" fontId="6" fillId="37" borderId="4" applyAlignment="1" pivotButton="0" quotePrefix="0" xfId="0">
      <alignment horizontal="left" vertical="center" wrapText="1"/>
    </xf>
    <xf numFmtId="0" fontId="6" fillId="37" borderId="4" applyAlignment="1" pivotButton="0" quotePrefix="0" xfId="0">
      <alignment horizontal="center" vertical="center"/>
    </xf>
    <xf numFmtId="0" fontId="32" fillId="38" borderId="4" applyAlignment="1" pivotButton="0" quotePrefix="0" xfId="0">
      <alignment horizontal="center" vertical="center"/>
    </xf>
    <xf numFmtId="0" fontId="32" fillId="38" borderId="4" applyAlignment="1" pivotButton="0" quotePrefix="0" xfId="0">
      <alignment horizontal="left" vertical="center"/>
    </xf>
    <xf numFmtId="0" fontId="3" fillId="40" borderId="0" applyAlignment="1" pivotButton="0" quotePrefix="0" xfId="0">
      <alignment horizontal="center" vertical="center" wrapText="1"/>
    </xf>
    <xf numFmtId="0" fontId="3" fillId="41" borderId="0" applyAlignment="1" pivotButton="0" quotePrefix="0" xfId="0">
      <alignment horizontal="center" vertical="center" wrapText="1"/>
    </xf>
    <xf numFmtId="0" fontId="35" fillId="43" borderId="4" applyAlignment="1" pivotButton="0" quotePrefix="0" xfId="0">
      <alignment horizontal="left" vertical="center" wrapText="1"/>
    </xf>
    <xf numFmtId="0" fontId="36" fillId="44" borderId="4" applyAlignment="1" pivotButton="0" quotePrefix="0" xfId="0">
      <alignment horizontal="center" vertical="center"/>
    </xf>
    <xf numFmtId="0" fontId="36" fillId="43" borderId="4" applyAlignment="1" pivotButton="0" quotePrefix="0" xfId="0">
      <alignment horizontal="center" vertical="center"/>
    </xf>
    <xf numFmtId="0" fontId="34" fillId="43" borderId="4" applyAlignment="1" pivotButton="0" quotePrefix="0" xfId="0">
      <alignment horizontal="center" vertical="center"/>
    </xf>
    <xf numFmtId="0" fontId="37" fillId="43" borderId="4" applyAlignment="1" pivotButton="0" quotePrefix="0" xfId="0">
      <alignment horizontal="left" vertical="center" wrapText="1"/>
    </xf>
    <xf numFmtId="0" fontId="34" fillId="43" borderId="4" applyAlignment="1" pivotButton="0" quotePrefix="0" xfId="0">
      <alignment horizontal="left" vertical="center" wrapText="1"/>
    </xf>
    <xf numFmtId="0" fontId="38" fillId="43" borderId="4" applyAlignment="1" pivotButton="0" quotePrefix="0" xfId="0">
      <alignment horizontal="center" vertical="center"/>
    </xf>
    <xf numFmtId="0" fontId="35" fillId="45" borderId="4" applyAlignment="1" pivotButton="0" quotePrefix="0" xfId="0">
      <alignment horizontal="left" vertical="center" wrapText="1"/>
    </xf>
    <xf numFmtId="0" fontId="32" fillId="45" borderId="4" applyAlignment="1" pivotButton="0" quotePrefix="0" xfId="0">
      <alignment horizontal="center" vertical="center"/>
    </xf>
    <xf numFmtId="0" fontId="39" fillId="45" borderId="4" applyAlignment="1" pivotButton="0" quotePrefix="0" xfId="0">
      <alignment horizontal="center" vertical="center"/>
    </xf>
    <xf numFmtId="0" fontId="34" fillId="45" borderId="4" applyAlignment="1" pivotButton="0" quotePrefix="0" xfId="0">
      <alignment horizontal="center" vertical="center"/>
    </xf>
    <xf numFmtId="0" fontId="37" fillId="45" borderId="4" applyAlignment="1" pivotButton="0" quotePrefix="0" xfId="0">
      <alignment horizontal="left" vertical="center" wrapText="1"/>
    </xf>
    <xf numFmtId="0" fontId="34" fillId="45" borderId="4" applyAlignment="1" pivotButton="0" quotePrefix="0" xfId="0">
      <alignment horizontal="left" vertical="center" wrapText="1"/>
    </xf>
    <xf numFmtId="0" fontId="38" fillId="45" borderId="4" applyAlignment="1" pivotButton="0" quotePrefix="0" xfId="0">
      <alignment horizontal="center" vertical="center"/>
    </xf>
    <xf numFmtId="0" fontId="36" fillId="45" borderId="4" applyAlignment="1" pivotButton="0" quotePrefix="0" xfId="0">
      <alignment horizontal="center" vertical="center"/>
    </xf>
    <xf numFmtId="0" fontId="16" fillId="42" borderId="0" applyAlignment="1" pivotButton="0" quotePrefix="0" xfId="0">
      <alignment horizontal="center" vertical="center"/>
    </xf>
    <xf numFmtId="0" fontId="16" fillId="30" borderId="0" applyAlignment="1" pivotButton="0" quotePrefix="0" xfId="0">
      <alignment horizontal="center" vertical="center"/>
    </xf>
    <xf numFmtId="0" fontId="35" fillId="47" borderId="4" applyAlignment="1" pivotButton="0" quotePrefix="0" xfId="0">
      <alignment horizontal="left" vertical="center" wrapText="1"/>
    </xf>
    <xf numFmtId="0" fontId="40" fillId="36" borderId="4" applyAlignment="1" pivotButton="0" quotePrefix="0" xfId="0">
      <alignment horizontal="center" vertical="center"/>
    </xf>
    <xf numFmtId="0" fontId="40" fillId="47" borderId="4" applyAlignment="1" pivotButton="0" quotePrefix="0" xfId="0">
      <alignment horizontal="center" vertical="center"/>
    </xf>
    <xf numFmtId="0" fontId="41" fillId="47" borderId="4" applyAlignment="1" pivotButton="0" quotePrefix="0" xfId="0">
      <alignment horizontal="center" vertical="center"/>
    </xf>
    <xf numFmtId="0" fontId="39" fillId="47" borderId="4" applyAlignment="1" pivotButton="0" quotePrefix="0" xfId="0">
      <alignment horizontal="center" vertical="center"/>
    </xf>
    <xf numFmtId="0" fontId="42" fillId="47" borderId="4" applyAlignment="1" pivotButton="0" quotePrefix="0" xfId="0">
      <alignment horizontal="left" vertical="center" wrapText="1"/>
    </xf>
    <xf numFmtId="0" fontId="34" fillId="47" borderId="4" applyAlignment="1" pivotButton="0" quotePrefix="0" xfId="0">
      <alignment horizontal="left" vertical="center" wrapText="1"/>
    </xf>
    <xf numFmtId="0" fontId="38" fillId="47" borderId="4" applyAlignment="1" pivotButton="0" quotePrefix="0" xfId="0">
      <alignment horizontal="center" vertical="center"/>
    </xf>
    <xf numFmtId="0" fontId="32" fillId="47" borderId="4" applyAlignment="1" pivotButton="0" quotePrefix="0" xfId="0">
      <alignment horizontal="center" vertical="center"/>
    </xf>
    <xf numFmtId="0" fontId="34" fillId="47" borderId="4" applyAlignment="1" pivotButton="0" quotePrefix="0" xfId="0">
      <alignment horizontal="center" vertical="center"/>
    </xf>
    <xf numFmtId="0" fontId="43" fillId="47" borderId="4" applyAlignment="1" pivotButton="0" quotePrefix="0" xfId="0">
      <alignment horizontal="center" vertical="center"/>
    </xf>
    <xf numFmtId="0" fontId="16" fillId="46" borderId="0" applyAlignment="1" pivotButton="0" quotePrefix="0" xfId="0">
      <alignment horizontal="center" vertical="center"/>
    </xf>
    <xf numFmtId="0" fontId="35" fillId="45" borderId="4" applyAlignment="1" pivotButton="0" quotePrefix="0" xfId="0">
      <alignment horizontal="left" vertical="center"/>
    </xf>
    <xf numFmtId="0" fontId="39" fillId="33" borderId="4" applyAlignment="1" pivotButton="0" quotePrefix="0" xfId="0">
      <alignment horizontal="center" vertical="center"/>
    </xf>
    <xf numFmtId="0" fontId="44" fillId="45" borderId="4" applyAlignment="1" pivotButton="0" quotePrefix="0" xfId="0">
      <alignment horizontal="center" vertical="center"/>
    </xf>
    <xf numFmtId="0" fontId="45" fillId="45" borderId="4" applyAlignment="1" pivotButton="0" quotePrefix="0" xfId="0">
      <alignment horizontal="left" vertical="center" wrapText="1"/>
    </xf>
    <xf numFmtId="0" fontId="34" fillId="45" borderId="4" applyAlignment="1" pivotButton="0" quotePrefix="0" xfId="0">
      <alignment horizontal="left" vertical="center"/>
    </xf>
    <xf numFmtId="0" fontId="11" fillId="40" borderId="0" applyAlignment="1" pivotButton="0" quotePrefix="0" xfId="0">
      <alignment horizontal="center" vertical="center"/>
    </xf>
    <xf numFmtId="0" fontId="51" fillId="13" borderId="1" applyAlignment="1" pivotButton="0" quotePrefix="0" xfId="0">
      <alignment horizontal="center" vertical="center" wrapText="1"/>
    </xf>
    <xf numFmtId="0" fontId="52" fillId="17" borderId="1" applyAlignment="1" pivotButton="0" quotePrefix="0" xfId="0">
      <alignment horizontal="center" vertical="center" wrapText="1"/>
    </xf>
    <xf numFmtId="0" fontId="50" fillId="6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 wrapText="1"/>
    </xf>
    <xf numFmtId="0" fontId="54" fillId="18" borderId="1" applyAlignment="1" pivotButton="0" quotePrefix="0" xfId="0">
      <alignment horizontal="center" vertical="center" wrapText="1"/>
    </xf>
    <xf numFmtId="0" fontId="50" fillId="8" borderId="1" applyAlignment="1" pivotButton="0" quotePrefix="0" xfId="0">
      <alignment horizontal="center" vertical="center" wrapText="1"/>
    </xf>
    <xf numFmtId="0" fontId="50" fillId="10" borderId="1" applyAlignment="1" pivotButton="0" quotePrefix="0" xfId="0">
      <alignment horizontal="center" vertical="center" wrapText="1"/>
    </xf>
    <xf numFmtId="0" fontId="50" fillId="15" borderId="1" applyAlignment="1" pivotButton="0" quotePrefix="0" xfId="0">
      <alignment horizontal="center" vertical="center" wrapText="1"/>
    </xf>
    <xf numFmtId="0" fontId="56" fillId="12" borderId="1" applyAlignment="1" pivotButton="0" quotePrefix="0" xfId="0">
      <alignment horizontal="center" vertical="center" wrapText="1"/>
    </xf>
    <xf numFmtId="0" fontId="50" fillId="24" borderId="1" applyAlignment="1" pivotButton="0" quotePrefix="0" xfId="0">
      <alignment horizontal="center" vertical="center" wrapText="1"/>
    </xf>
    <xf numFmtId="0" fontId="57" fillId="3" borderId="1" applyAlignment="1" pivotButton="0" quotePrefix="0" xfId="0">
      <alignment horizontal="center" vertical="center" wrapText="1"/>
    </xf>
    <xf numFmtId="0" fontId="58" fillId="3" borderId="1" applyAlignment="1" pivotButton="0" quotePrefix="0" xfId="0">
      <alignment horizontal="center" vertical="center" wrapText="1"/>
    </xf>
    <xf numFmtId="0" fontId="59" fillId="3" borderId="1" applyAlignment="1" pivotButton="0" quotePrefix="0" xfId="0">
      <alignment horizontal="left" vertical="center" wrapText="1"/>
    </xf>
    <xf numFmtId="0" fontId="60" fillId="5" borderId="1" applyAlignment="1" pivotButton="0" quotePrefix="0" xfId="0">
      <alignment horizontal="center" vertical="center" wrapText="1"/>
    </xf>
    <xf numFmtId="3" fontId="58" fillId="3" borderId="1" applyAlignment="1" pivotButton="0" quotePrefix="0" xfId="0">
      <alignment horizontal="center" vertical="center" wrapText="1"/>
    </xf>
    <xf numFmtId="0" fontId="61" fillId="3" borderId="1" applyAlignment="1" pivotButton="0" quotePrefix="0" xfId="0">
      <alignment horizontal="center" vertical="center" wrapText="1"/>
    </xf>
    <xf numFmtId="164" fontId="61" fillId="3" borderId="1" applyAlignment="1" pivotButton="0" quotePrefix="0" xfId="0">
      <alignment horizontal="center" vertical="center" wrapText="1"/>
    </xf>
    <xf numFmtId="2" fontId="61" fillId="3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59" fillId="3" borderId="1" applyAlignment="1" pivotButton="0" quotePrefix="0" xfId="0">
      <alignment horizontal="center" vertical="center" wrapText="1"/>
    </xf>
    <xf numFmtId="0" fontId="62" fillId="3" borderId="1" applyAlignment="1" pivotButton="0" quotePrefix="0" xfId="0">
      <alignment horizontal="left" vertical="center" wrapText="1"/>
    </xf>
    <xf numFmtId="0" fontId="57" fillId="4" borderId="1" applyAlignment="1" pivotButton="0" quotePrefix="0" xfId="0">
      <alignment horizontal="center" vertical="center" wrapText="1"/>
    </xf>
    <xf numFmtId="0" fontId="58" fillId="4" borderId="1" applyAlignment="1" pivotButton="0" quotePrefix="0" xfId="0">
      <alignment horizontal="center" vertical="center" wrapText="1"/>
    </xf>
    <xf numFmtId="0" fontId="59" fillId="4" borderId="1" applyAlignment="1" pivotButton="0" quotePrefix="0" xfId="0">
      <alignment horizontal="left" vertical="center" wrapText="1"/>
    </xf>
    <xf numFmtId="0" fontId="60" fillId="7" borderId="1" applyAlignment="1" pivotButton="0" quotePrefix="0" xfId="0">
      <alignment horizontal="center" vertical="center" wrapText="1"/>
    </xf>
    <xf numFmtId="3" fontId="58" fillId="4" borderId="1" applyAlignment="1" pivotButton="0" quotePrefix="0" xfId="0">
      <alignment horizontal="center" vertical="center" wrapText="1"/>
    </xf>
    <xf numFmtId="0" fontId="61" fillId="4" borderId="1" applyAlignment="1" pivotButton="0" quotePrefix="0" xfId="0">
      <alignment horizontal="center" vertical="center" wrapText="1"/>
    </xf>
    <xf numFmtId="164" fontId="61" fillId="4" borderId="1" applyAlignment="1" pivotButton="0" quotePrefix="0" xfId="0">
      <alignment horizontal="center" vertical="center" wrapText="1"/>
    </xf>
    <xf numFmtId="2" fontId="61" fillId="4" borderId="1" applyAlignment="1" pivotButton="0" quotePrefix="0" xfId="0">
      <alignment horizontal="center" vertical="center" wrapText="1"/>
    </xf>
    <xf numFmtId="0" fontId="47" fillId="8" borderId="1" applyAlignment="1" pivotButton="0" quotePrefix="0" xfId="0">
      <alignment horizontal="center" vertical="center" wrapText="1"/>
    </xf>
    <xf numFmtId="0" fontId="59" fillId="4" borderId="1" applyAlignment="1" pivotButton="0" quotePrefix="0" xfId="0">
      <alignment horizontal="center" vertical="center" wrapText="1"/>
    </xf>
    <xf numFmtId="0" fontId="62" fillId="4" borderId="1" applyAlignment="1" pivotButton="0" quotePrefix="0" xfId="0">
      <alignment horizontal="left" vertical="center" wrapText="1"/>
    </xf>
    <xf numFmtId="0" fontId="60" fillId="9" borderId="1" applyAlignment="1" pivotButton="0" quotePrefix="0" xfId="0">
      <alignment horizontal="center" vertical="center" wrapText="1"/>
    </xf>
    <xf numFmtId="0" fontId="50" fillId="11" borderId="1" applyAlignment="1" pivotButton="0" quotePrefix="0" xfId="0">
      <alignment horizontal="center" vertical="center" wrapText="1"/>
    </xf>
    <xf numFmtId="0" fontId="57" fillId="12" borderId="1" applyAlignment="1" pivotButton="0" quotePrefix="0" xfId="0">
      <alignment horizontal="center" vertical="center" wrapText="1"/>
    </xf>
    <xf numFmtId="0" fontId="58" fillId="12" borderId="1" applyAlignment="1" pivotButton="0" quotePrefix="0" xfId="0">
      <alignment horizontal="center" vertical="center" wrapText="1"/>
    </xf>
    <xf numFmtId="0" fontId="59" fillId="12" borderId="1" applyAlignment="1" pivotButton="0" quotePrefix="0" xfId="0">
      <alignment horizontal="left" vertical="center" wrapText="1"/>
    </xf>
    <xf numFmtId="3" fontId="58" fillId="12" borderId="1" applyAlignment="1" pivotButton="0" quotePrefix="0" xfId="0">
      <alignment horizontal="center" vertical="center" wrapText="1"/>
    </xf>
    <xf numFmtId="0" fontId="61" fillId="12" borderId="1" applyAlignment="1" pivotButton="0" quotePrefix="0" xfId="0">
      <alignment horizontal="center" vertical="center" wrapText="1"/>
    </xf>
    <xf numFmtId="164" fontId="61" fillId="12" borderId="1" applyAlignment="1" pivotButton="0" quotePrefix="0" xfId="0">
      <alignment horizontal="center" vertical="center" wrapText="1"/>
    </xf>
    <xf numFmtId="2" fontId="61" fillId="12" borderId="1" applyAlignment="1" pivotButton="0" quotePrefix="0" xfId="0">
      <alignment horizontal="center" vertical="center" wrapText="1"/>
    </xf>
    <xf numFmtId="0" fontId="59" fillId="12" borderId="1" applyAlignment="1" pivotButton="0" quotePrefix="0" xfId="0">
      <alignment horizontal="center" vertical="center" wrapText="1"/>
    </xf>
    <xf numFmtId="0" fontId="62" fillId="12" borderId="1" applyAlignment="1" pivotButton="0" quotePrefix="0" xfId="0">
      <alignment horizontal="left" vertical="center" wrapText="1"/>
    </xf>
    <xf numFmtId="0" fontId="47" fillId="10" borderId="1" applyAlignment="1" pivotButton="0" quotePrefix="0" xfId="0">
      <alignment horizontal="center" vertical="center" wrapText="1"/>
    </xf>
    <xf numFmtId="0" fontId="55" fillId="17" borderId="1" applyAlignment="1" pivotButton="0" quotePrefix="0" xfId="0">
      <alignment horizontal="left" vertical="center" wrapText="1"/>
    </xf>
    <xf numFmtId="0" fontId="59" fillId="14" borderId="1" applyAlignment="1" pivotButton="0" quotePrefix="0" xfId="0">
      <alignment horizontal="left" vertical="center" wrapText="1"/>
    </xf>
    <xf numFmtId="0" fontId="59" fillId="49" borderId="1" applyAlignment="1" pivotButton="0" quotePrefix="0" xfId="0">
      <alignment horizontal="left" vertical="center" wrapText="1"/>
    </xf>
    <xf numFmtId="0" fontId="51" fillId="13" borderId="2" applyAlignment="1" pivotButton="0" quotePrefix="0" xfId="0">
      <alignment horizontal="center" vertical="center" wrapText="1"/>
    </xf>
    <xf numFmtId="0" fontId="59" fillId="51" borderId="2" applyAlignment="1" pivotButton="0" quotePrefix="0" xfId="0">
      <alignment horizontal="left" vertical="center" wrapText="1"/>
    </xf>
    <xf numFmtId="0" fontId="51" fillId="52" borderId="0" applyAlignment="1" pivotButton="0" quotePrefix="0" xfId="0">
      <alignment horizontal="center" vertical="center" wrapText="1"/>
    </xf>
    <xf numFmtId="0" fontId="66" fillId="53" borderId="0" applyAlignment="1" pivotButton="0" quotePrefix="0" xfId="0">
      <alignment horizontal="left" vertical="center" wrapText="1"/>
    </xf>
    <xf numFmtId="0" fontId="47" fillId="50" borderId="0" applyAlignment="1" pivotButton="0" quotePrefix="0" xfId="0">
      <alignment horizontal="center" vertical="center" wrapText="1"/>
    </xf>
    <xf numFmtId="0" fontId="65" fillId="51" borderId="0" applyAlignment="1" pivotButton="0" quotePrefix="0" xfId="0">
      <alignment horizontal="center" vertical="center" wrapText="1"/>
    </xf>
    <xf numFmtId="0" fontId="51" fillId="24" borderId="0" applyAlignment="1" pivotButton="0" quotePrefix="0" xfId="0">
      <alignment horizontal="center" vertical="center" wrapText="1"/>
    </xf>
    <xf numFmtId="0" fontId="51" fillId="1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right" vertical="center" wrapText="1"/>
    </xf>
    <xf numFmtId="0" fontId="1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right" vertical="center" wrapText="1"/>
    </xf>
    <xf numFmtId="0" fontId="3" fillId="16" borderId="2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15" fillId="14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21" fillId="14" borderId="0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 wrapText="1"/>
    </xf>
    <xf numFmtId="0" fontId="27" fillId="17" borderId="2" applyAlignment="1" pivotButton="0" quotePrefix="0" xfId="0">
      <alignment horizontal="center" vertical="center" wrapText="1"/>
    </xf>
    <xf numFmtId="0" fontId="28" fillId="21" borderId="2" applyAlignment="1" pivotButton="0" quotePrefix="0" xfId="0">
      <alignment horizontal="center" vertical="center" wrapText="1"/>
    </xf>
    <xf numFmtId="0" fontId="16" fillId="24" borderId="0" applyAlignment="1" pivotButton="0" quotePrefix="0" xfId="0">
      <alignment horizontal="center" vertical="center" wrapText="1"/>
    </xf>
    <xf numFmtId="0" fontId="27" fillId="3" borderId="2" applyAlignment="1" pivotButton="0" quotePrefix="0" xfId="0">
      <alignment horizontal="center" vertical="center" wrapText="1"/>
    </xf>
    <xf numFmtId="0" fontId="28" fillId="13" borderId="2" applyAlignment="1" pivotButton="0" quotePrefix="0" xfId="0">
      <alignment horizontal="center" vertical="center" wrapText="1"/>
    </xf>
    <xf numFmtId="0" fontId="28" fillId="16" borderId="2" applyAlignment="1" pivotButton="0" quotePrefix="0" xfId="0">
      <alignment horizontal="center" vertical="center" wrapText="1"/>
    </xf>
    <xf numFmtId="0" fontId="28" fillId="20" borderId="2" applyAlignment="1" pivotButton="0" quotePrefix="0" xfId="0">
      <alignment horizontal="center" vertical="center" wrapText="1"/>
    </xf>
    <xf numFmtId="0" fontId="11" fillId="26" borderId="2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27" fillId="12" borderId="2" applyAlignment="1" pivotButton="0" quotePrefix="0" xfId="0">
      <alignment horizontal="center" vertical="center" wrapText="1"/>
    </xf>
    <xf numFmtId="0" fontId="28" fillId="24" borderId="2" applyAlignment="1" pivotButton="0" quotePrefix="0" xfId="0">
      <alignment horizontal="center" vertical="center" wrapText="1"/>
    </xf>
    <xf numFmtId="0" fontId="11" fillId="24" borderId="2" applyAlignment="1" pivotButton="0" quotePrefix="0" xfId="0">
      <alignment horizontal="center" vertical="center" wrapText="1"/>
    </xf>
    <xf numFmtId="0" fontId="11" fillId="25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28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16" fillId="28" borderId="0" applyAlignment="1" pivotButton="0" quotePrefix="0" xfId="0">
      <alignment horizontal="center" vertical="center"/>
    </xf>
    <xf numFmtId="0" fontId="33" fillId="39" borderId="4" applyAlignment="1" pivotButton="0" quotePrefix="0" xfId="0">
      <alignment horizontal="left" vertical="center"/>
    </xf>
    <xf numFmtId="0" fontId="34" fillId="4" borderId="4" applyAlignment="1" pivotButton="0" quotePrefix="0" xfId="0">
      <alignment horizontal="left" vertical="center" wrapText="1"/>
    </xf>
    <xf numFmtId="0" fontId="3" fillId="42" borderId="0" applyAlignment="1" pivotButton="0" quotePrefix="0" xfId="0">
      <alignment horizontal="center" vertical="center"/>
    </xf>
    <xf numFmtId="0" fontId="16" fillId="31" borderId="0" applyAlignment="1" pivotButton="0" quotePrefix="0" xfId="0">
      <alignment horizontal="center" vertical="center"/>
    </xf>
    <xf numFmtId="0" fontId="3" fillId="4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3" fillId="31" borderId="0" applyAlignment="1" pivotButton="0" quotePrefix="0" xfId="0">
      <alignment horizontal="center" vertical="center"/>
    </xf>
    <xf numFmtId="0" fontId="11" fillId="28" borderId="0" applyAlignment="1" pivotButton="0" quotePrefix="0" xfId="0">
      <alignment horizontal="center" vertical="center"/>
    </xf>
    <xf numFmtId="0" fontId="46" fillId="28" borderId="0" applyAlignment="1" pivotButton="0" quotePrefix="0" xfId="0">
      <alignment horizontal="center" vertical="center"/>
    </xf>
    <xf numFmtId="0" fontId="34" fillId="39" borderId="4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0" fontId="47" fillId="48" borderId="0" applyAlignment="1" pivotButton="0" quotePrefix="0" xfId="0">
      <alignment horizontal="center" vertical="center" wrapText="1"/>
    </xf>
    <xf numFmtId="0" fontId="48" fillId="49" borderId="0" applyAlignment="1" pivotButton="0" quotePrefix="0" xfId="0">
      <alignment horizontal="center" vertical="center" wrapText="1"/>
    </xf>
    <xf numFmtId="0" fontId="49" fillId="49" borderId="0" applyAlignment="1" pivotButton="0" quotePrefix="0" xfId="0">
      <alignment horizontal="center" vertical="center" wrapText="1"/>
    </xf>
    <xf numFmtId="0" fontId="50" fillId="6" borderId="2" applyAlignment="1" pivotButton="0" quotePrefix="0" xfId="0">
      <alignment horizontal="left" vertical="center" wrapText="1"/>
    </xf>
    <xf numFmtId="0" fontId="50" fillId="8" borderId="2" applyAlignment="1" pivotButton="0" quotePrefix="0" xfId="0">
      <alignment horizontal="left" vertical="center" wrapText="1"/>
    </xf>
    <xf numFmtId="0" fontId="50" fillId="10" borderId="2" applyAlignment="1" pivotButton="0" quotePrefix="0" xfId="0">
      <alignment horizontal="left" vertical="center" wrapText="1"/>
    </xf>
    <xf numFmtId="0" fontId="50" fillId="15" borderId="2" applyAlignment="1" pivotButton="0" quotePrefix="0" xfId="0">
      <alignment horizontal="left" vertical="center" wrapText="1"/>
    </xf>
    <xf numFmtId="0" fontId="50" fillId="16" borderId="2" applyAlignment="1" pivotButton="0" quotePrefix="0" xfId="0">
      <alignment horizontal="center" vertical="center" wrapText="1"/>
    </xf>
    <xf numFmtId="0" fontId="55" fillId="14" borderId="0" applyAlignment="1" pivotButton="0" quotePrefix="0" xfId="0">
      <alignment horizontal="center" vertical="center" wrapText="1"/>
    </xf>
    <xf numFmtId="0" fontId="50" fillId="19" borderId="2" applyAlignment="1" pivotButton="0" quotePrefix="0" xfId="0">
      <alignment horizontal="center" vertical="center" wrapText="1"/>
    </xf>
    <xf numFmtId="0" fontId="63" fillId="48" borderId="0" applyAlignment="1" pivotButton="0" quotePrefix="0" xfId="0">
      <alignment horizontal="center" vertical="center" wrapText="1"/>
    </xf>
    <xf numFmtId="0" fontId="51" fillId="48" borderId="2" applyAlignment="1" pivotButton="0" quotePrefix="0" xfId="0">
      <alignment horizontal="left" vertical="center" wrapText="1"/>
    </xf>
    <xf numFmtId="0" fontId="64" fillId="49" borderId="2" applyAlignment="1" pivotButton="0" quotePrefix="0" xfId="0">
      <alignment horizontal="left" vertical="center" wrapText="1"/>
    </xf>
    <xf numFmtId="0" fontId="49" fillId="51" borderId="0" applyAlignment="1" pivotButton="0" quotePrefix="0" xfId="0">
      <alignment horizontal="center" vertical="center" wrapText="1"/>
    </xf>
    <xf numFmtId="0" fontId="63" fillId="50" borderId="0" applyAlignment="1" pivotButton="0" quotePrefix="0" xfId="0">
      <alignment horizontal="center" vertical="center" wrapText="1"/>
    </xf>
    <xf numFmtId="0" fontId="51" fillId="50" borderId="2" applyAlignment="1" pivotButton="0" quotePrefix="0" xfId="0">
      <alignment horizontal="left" vertical="center" wrapText="1"/>
    </xf>
    <xf numFmtId="0" fontId="64" fillId="51" borderId="2" applyAlignment="1" pivotButton="0" quotePrefix="0" xfId="0">
      <alignment horizontal="left" vertical="center" wrapText="1"/>
    </xf>
    <xf numFmtId="0" fontId="63" fillId="13" borderId="0" applyAlignment="1" pivotButton="0" quotePrefix="0" xfId="0">
      <alignment horizontal="center" vertical="center" wrapText="1"/>
    </xf>
    <xf numFmtId="0" fontId="49" fillId="14" borderId="0" applyAlignment="1" pivotButton="0" quotePrefix="0" xfId="0">
      <alignment horizontal="center" vertical="center" wrapText="1"/>
    </xf>
    <xf numFmtId="0" fontId="51" fillId="13" borderId="0" applyAlignment="1" pivotButton="0" quotePrefix="0" xfId="0">
      <alignment horizontal="center" vertical="center" wrapText="1"/>
    </xf>
    <xf numFmtId="0" fontId="51" fillId="52" borderId="0" applyAlignment="1" pivotButton="0" quotePrefix="0" xfId="0">
      <alignment horizontal="left" vertical="center" wrapText="1"/>
    </xf>
    <xf numFmtId="0" fontId="16" fillId="21" borderId="0" applyAlignment="1" pivotButton="0" quotePrefix="0" xfId="0">
      <alignment horizontal="left" vertical="center" wrapText="1"/>
    </xf>
    <xf numFmtId="0" fontId="16" fillId="16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8" pivotButton="0" quotePrefix="0" xfId="0"/>
    <xf numFmtId="0" fontId="69" fillId="14" borderId="0" applyAlignment="1" pivotButton="0" quotePrefix="0" xfId="0">
      <alignment horizontal="left" vertical="center" wrapText="1"/>
    </xf>
    <xf numFmtId="0" fontId="70" fillId="55" borderId="0" applyAlignment="1" pivotButton="0" quotePrefix="0" xfId="0">
      <alignment horizontal="left" vertical="center" indent="1"/>
    </xf>
    <xf numFmtId="0" fontId="71" fillId="56" borderId="13" applyAlignment="1" pivotButton="0" quotePrefix="0" xfId="0">
      <alignment horizontal="center" vertical="center" wrapText="1"/>
    </xf>
    <xf numFmtId="0" fontId="72" fillId="0" borderId="13" applyAlignment="1" pivotButton="0" quotePrefix="0" xfId="0">
      <alignment horizontal="center"/>
    </xf>
    <xf numFmtId="49" fontId="72" fillId="0" borderId="13" applyAlignment="1" pivotButton="0" quotePrefix="0" xfId="0">
      <alignment horizontal="center"/>
    </xf>
    <xf numFmtId="0" fontId="73" fillId="0" borderId="13" applyAlignment="1" pivotButton="0" quotePrefix="0" xfId="0">
      <alignment horizontal="center"/>
    </xf>
    <xf numFmtId="0" fontId="73" fillId="0" borderId="13" applyAlignment="1" pivotButton="0" quotePrefix="0" xfId="0">
      <alignment horizontal="left" indent="1"/>
    </xf>
    <xf numFmtId="0" fontId="74" fillId="57" borderId="13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75" fillId="0" borderId="13" applyAlignment="1" pivotButton="0" quotePrefix="0" xfId="0">
      <alignment horizontal="center"/>
    </xf>
    <xf numFmtId="3" fontId="73" fillId="0" borderId="13" applyAlignment="1" pivotButton="0" quotePrefix="0" xfId="0">
      <alignment horizontal="center"/>
    </xf>
    <xf numFmtId="0" fontId="70" fillId="56" borderId="0" applyAlignment="1" pivotButton="0" quotePrefix="0" xfId="0">
      <alignment horizontal="left" vertical="center" indent="1"/>
    </xf>
    <xf numFmtId="0" fontId="72" fillId="0" borderId="0" applyAlignment="1" pivotButton="0" quotePrefix="0" xfId="0">
      <alignment vertical="center" indent="1"/>
    </xf>
    <xf numFmtId="3" fontId="72" fillId="57" borderId="13" applyAlignment="1" pivotButton="0" quotePrefix="0" xfId="0">
      <alignment horizontal="center" vertical="center"/>
    </xf>
    <xf numFmtId="0" fontId="69" fillId="0" borderId="0" applyAlignment="1" pivotButton="0" quotePrefix="0" xfId="0">
      <alignment vertical="center" indent="1"/>
    </xf>
    <xf numFmtId="0" fontId="72" fillId="58" borderId="13" applyAlignment="1" pivotButton="0" quotePrefix="0" xfId="0">
      <alignment horizontal="center" vertical="center"/>
    </xf>
    <xf numFmtId="0" fontId="67" fillId="20" borderId="2" applyAlignment="1" pivotButton="0" quotePrefix="0" xfId="0">
      <alignment horizontal="center" vertical="center" wrapText="1"/>
    </xf>
    <xf numFmtId="0" fontId="68" fillId="3" borderId="2" applyAlignment="1" pivotButton="0" quotePrefix="0" xfId="0">
      <alignment horizontal="center"/>
    </xf>
    <xf numFmtId="0" fontId="69" fillId="54" borderId="2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F3F4F6"/>
      <rgbColor rgb="FFF8FAFC"/>
      <rgbColor rgb="FFFCE4D6"/>
      <rgbColor rgb="FFCC0000"/>
      <rgbColor rgb="FFF0FFF4"/>
      <rgbColor rgb="FF7B0D1E"/>
      <rgbColor rgb="FF1F7A1F"/>
      <rgbColor rgb="FF2E5FA3"/>
      <rgbColor rgb="FF375623"/>
      <rgbColor rgb="FFC8102E"/>
      <rgbColor rgb="FF17677A"/>
      <rgbColor rgb="FFBFBFBF"/>
      <rgbColor rgb="FF475569"/>
      <rgbColor rgb="FFDEEAF1"/>
      <rgbColor rgb="FF953735"/>
      <rgbColor rgb="FFFEF3C7"/>
      <rgbColor rgb="FFDCFCE7"/>
      <rgbColor rgb="FF3F4347"/>
      <rgbColor rgb="FFFDECEA"/>
      <rgbColor rgb="FF1D4ED8"/>
      <rgbColor rgb="FFD1D5DB"/>
      <rgbColor rgb="FFFFFCF0"/>
      <rgbColor rgb="FFFFF7ED"/>
      <rgbColor rgb="FFFFF3E0"/>
      <rgbColor rgb="FFF1F5F9"/>
      <rgbColor rgb="FFC00000"/>
      <rgbColor rgb="FFAA0000"/>
      <rgbColor rgb="FF166534"/>
      <rgbColor rgb="FFFFF8F8"/>
      <rgbColor rgb="FFF2F2F2"/>
      <rgbColor rgb="FFD6EEF2"/>
      <rgbColor rgb="FFC6EFCE"/>
      <rgbColor rgb="FFFFEB9C"/>
      <rgbColor rgb="FFD6DCE4"/>
      <rgbColor rgb="FFFEE2E2"/>
      <rgbColor rgb="FFE8D5F5"/>
      <rgbColor rgb="FFFFC7CE"/>
      <rgbColor rgb="FF2E75B6"/>
      <rgbColor rgb="FF18B451"/>
      <rgbColor rgb="FFE2EFDA"/>
      <rgbColor rgb="FFF59E0B"/>
      <rgbColor rgb="FFFF9900"/>
      <rgbColor rgb="FFED7D27"/>
      <rgbColor rgb="FF5B5B5D"/>
      <rgbColor rgb="FFA5A8AC"/>
      <rgbColor rgb="FF1F3864"/>
      <rgbColor rgb="FF2E8B2E"/>
      <rgbColor rgb="FF191A1A"/>
      <rgbColor rgb="FF232F3E"/>
      <rgbColor rgb="FF78350F"/>
      <rgbColor rgb="FFCC3333"/>
      <rgbColor rgb="FF5B2C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opLeftCell="B1" zoomScaleNormal="100" workbookViewId="0">
      <pane ySplit="4" topLeftCell="A5" activePane="bottomLeft" state="frozen"/>
      <selection pane="bottomLeft" activeCell="E16" sqref="E16"/>
      <selection activeCell="B1" sqref="B1"/>
    </sheetView>
  </sheetViews>
  <sheetFormatPr baseColWidth="8" defaultColWidth="8.42578125" defaultRowHeight="14.45"/>
  <cols>
    <col width="6" customWidth="1" min="1" max="1"/>
    <col width="10" customWidth="1" min="2" max="2"/>
    <col width="36" customWidth="1" min="3" max="3"/>
    <col width="12.85546875" customWidth="1" min="4" max="4"/>
    <col width="13" customWidth="1" min="5" max="5"/>
    <col width="9" customWidth="1" min="6" max="6"/>
    <col width="10.42578125" customWidth="1" min="7" max="7"/>
    <col width="13.42578125" customWidth="1" min="8" max="8"/>
    <col width="12" customWidth="1" min="9" max="9"/>
    <col width="11" customWidth="1" min="10" max="10"/>
    <col width="12" customWidth="1" min="11" max="11"/>
    <col width="8" customWidth="1" min="12" max="13"/>
    <col width="14" customWidth="1" min="14" max="14"/>
    <col width="10" customWidth="1" min="15" max="15"/>
    <col width="22" customWidth="1" min="16" max="16"/>
    <col width="10" customWidth="1" min="17" max="17"/>
    <col width="28" customWidth="1" min="18" max="18"/>
  </cols>
  <sheetData>
    <row r="1" ht="33.75" customHeight="1">
      <c r="A1" s="214" t="inlineStr">
        <is>
          <t xml:space="preserve">  TARGET  Top SKU Analysis  |  Racks 30 &amp; 31  |  Forklift Operations</t>
        </is>
      </c>
    </row>
    <row r="2" ht="15.75" customHeight="1">
      <c r="A2" s="215" t="inlineStr">
        <is>
          <t>Levels A &amp; B = highest priority (ground/second level = fastest forklift access) | Source: Target Orders</t>
        </is>
      </c>
    </row>
    <row r="3" ht="6" customHeight="1"/>
    <row r="4" ht="30" customFormat="1" customHeight="1" s="6">
      <c r="A4" s="5" t="inlineStr">
        <is>
          <t>Rank</t>
        </is>
      </c>
      <c r="B4" s="5" t="inlineStr">
        <is>
          <t>Item #</t>
        </is>
      </c>
      <c r="C4" s="5" t="inlineStr">
        <is>
          <t>Product Description</t>
        </is>
      </c>
      <c r="D4" s="5" t="inlineStr">
        <is>
          <t>Full Pallet Capacity</t>
        </is>
      </c>
      <c r="E4" s="5" t="inlineStr">
        <is>
          <t>Total Cases
Shipped</t>
        </is>
      </c>
      <c r="F4" s="5" t="inlineStr">
        <is>
          <t># Orders</t>
        </is>
      </c>
      <c r="G4" s="5" t="inlineStr">
        <is>
          <t>Avg Cases
/ Batch</t>
        </is>
      </c>
      <c r="H4" s="5" t="inlineStr">
        <is>
          <t>Full Pallets Needed / Batch</t>
        </is>
      </c>
      <c r="I4" s="5" t="inlineStr">
        <is>
          <t>Avg Cases
/ Order</t>
        </is>
      </c>
      <c r="J4" s="5" t="inlineStr">
        <is>
          <t>% of Total</t>
        </is>
      </c>
      <c r="K4" s="5" t="inlineStr">
        <is>
          <t>Cumulative
%</t>
        </is>
      </c>
      <c r="L4" s="5" t="inlineStr">
        <is>
          <t>ABC
Class</t>
        </is>
      </c>
      <c r="M4" s="5" t="inlineStr">
        <is>
          <t>Rack</t>
        </is>
      </c>
      <c r="N4" s="5" t="inlineStr">
        <is>
          <t>Column
(Rack 30 = Odd)</t>
        </is>
      </c>
      <c r="O4" s="5" t="inlineStr">
        <is>
          <t>Level
Assigned</t>
        </is>
      </c>
      <c r="P4" s="5" t="inlineStr">
        <is>
          <t>Cell Address
(Rack-Col-Level)</t>
        </is>
      </c>
      <c r="Q4" s="5" t="inlineStr">
        <is>
          <t>Pallet
Slots</t>
        </is>
      </c>
      <c r="R4" s="5" t="inlineStr">
        <is>
          <t>Notes</t>
        </is>
      </c>
    </row>
    <row r="5" ht="21.75" customHeight="1">
      <c r="A5" s="7" t="n">
        <v>1</v>
      </c>
      <c r="B5" s="8" t="inlineStr">
        <is>
          <t>62632</t>
        </is>
      </c>
      <c r="C5" s="9" t="inlineStr">
        <is>
          <t>Target GG Org Sugar, 6ct-2lb</t>
        </is>
      </c>
      <c r="D5" s="10" t="n">
        <v>156</v>
      </c>
      <c r="E5" s="11" t="n">
        <v>13157</v>
      </c>
      <c r="F5" s="10" t="n">
        <v>182</v>
      </c>
      <c r="G5" s="12" t="n">
        <v>1461.88888888889</v>
      </c>
      <c r="H5" s="12">
        <f>G5/D5</f>
        <v/>
      </c>
      <c r="I5" s="12" t="n">
        <v>72.3</v>
      </c>
      <c r="J5" s="13" t="n">
        <v>0.380216159981505</v>
      </c>
      <c r="K5" s="13" t="n">
        <v>0.380216159981505</v>
      </c>
      <c r="L5" s="14" t="inlineStr">
        <is>
          <t>A</t>
        </is>
      </c>
      <c r="M5" s="7" t="n">
        <v>30</v>
      </c>
      <c r="N5" s="10" t="inlineStr">
        <is>
          <t>1 (odd)</t>
        </is>
      </c>
      <c r="O5" s="15" t="inlineStr">
        <is>
          <t>A</t>
        </is>
      </c>
      <c r="P5" s="16" t="inlineStr">
        <is>
          <t>R30-C01-A</t>
        </is>
      </c>
      <c r="Q5" s="7" t="n">
        <v>4</v>
      </c>
      <c r="R5" s="17" t="inlineStr">
        <is>
          <t>Ground level — fastest forklift reach</t>
        </is>
      </c>
    </row>
    <row r="6" ht="21.75" customHeight="1">
      <c r="A6" s="18" t="n">
        <v>2</v>
      </c>
      <c r="B6" s="19" t="inlineStr">
        <is>
          <t>62641</t>
        </is>
      </c>
      <c r="C6" s="20" t="inlineStr">
        <is>
          <t>Target GG Org Light Brown Sugar 6ct-1.5lb</t>
        </is>
      </c>
      <c r="D6" s="21" t="n">
        <v>180</v>
      </c>
      <c r="E6" s="22" t="n">
        <v>6454</v>
      </c>
      <c r="F6" s="21" t="n">
        <v>145</v>
      </c>
      <c r="G6" s="23" t="n">
        <v>717.111111111111</v>
      </c>
      <c r="H6" s="23">
        <f>G6/D6</f>
        <v/>
      </c>
      <c r="I6" s="23" t="n">
        <v>44.5</v>
      </c>
      <c r="J6" s="24" t="n">
        <v>0.18651023003121</v>
      </c>
      <c r="K6" s="24" t="n">
        <v>0.566726390012715</v>
      </c>
      <c r="L6" s="25" t="inlineStr">
        <is>
          <t>B</t>
        </is>
      </c>
      <c r="M6" s="18" t="n">
        <v>30</v>
      </c>
      <c r="N6" s="21" t="inlineStr">
        <is>
          <t>3 (odd)</t>
        </is>
      </c>
      <c r="O6" s="26" t="inlineStr">
        <is>
          <t>B</t>
        </is>
      </c>
      <c r="P6" s="27" t="inlineStr">
        <is>
          <t>R30-C03-B</t>
        </is>
      </c>
      <c r="Q6" s="18" t="n">
        <v>2</v>
      </c>
      <c r="R6" s="28" t="inlineStr">
        <is>
          <t>Level B — second tier, efficient forklift access</t>
        </is>
      </c>
    </row>
    <row r="7" ht="21.75" customHeight="1">
      <c r="A7" s="7" t="n">
        <v>3</v>
      </c>
      <c r="B7" s="8" t="inlineStr">
        <is>
          <t>62004</t>
        </is>
      </c>
      <c r="C7" s="9" t="inlineStr">
        <is>
          <t>Target GG Org Powdered Sugar 6ct-1lb</t>
        </is>
      </c>
      <c r="D7" s="10" t="n">
        <v>180</v>
      </c>
      <c r="E7" s="11" t="n">
        <v>4891</v>
      </c>
      <c r="F7" s="10" t="n">
        <v>164</v>
      </c>
      <c r="G7" s="12" t="n">
        <v>543.444444444445</v>
      </c>
      <c r="H7" s="12">
        <f>G7/D7</f>
        <v/>
      </c>
      <c r="I7" s="12" t="n">
        <v>29.8</v>
      </c>
      <c r="J7" s="13" t="n">
        <v>0.141342041382499</v>
      </c>
      <c r="K7" s="13" t="n">
        <v>0.708068431395215</v>
      </c>
      <c r="L7" s="25" t="inlineStr">
        <is>
          <t>B</t>
        </is>
      </c>
      <c r="M7" s="7" t="n">
        <v>30</v>
      </c>
      <c r="N7" s="10" t="inlineStr">
        <is>
          <t>5 (odd)</t>
        </is>
      </c>
      <c r="O7" s="26" t="inlineStr">
        <is>
          <t>B</t>
        </is>
      </c>
      <c r="P7" s="16" t="inlineStr">
        <is>
          <t>R30-C05-B</t>
        </is>
      </c>
      <c r="Q7" s="7" t="n">
        <v>2</v>
      </c>
      <c r="R7" s="17" t="inlineStr">
        <is>
          <t>Level B — second tier, efficient forklift access</t>
        </is>
      </c>
    </row>
    <row r="8" ht="21.75" customHeight="1">
      <c r="A8" s="18" t="n">
        <v>4</v>
      </c>
      <c r="B8" s="19" t="inlineStr">
        <is>
          <t>62106</t>
        </is>
      </c>
      <c r="C8" s="20" t="inlineStr">
        <is>
          <t>Target GG Org. Coconut Palm Sugar 6ct-1lb</t>
        </is>
      </c>
      <c r="D8" s="21" t="n">
        <v>192</v>
      </c>
      <c r="E8" s="22" t="n">
        <v>3323</v>
      </c>
      <c r="F8" s="21" t="n">
        <v>189</v>
      </c>
      <c r="G8" s="23" t="n">
        <v>369.222222222222</v>
      </c>
      <c r="H8" s="23">
        <f>G8/D8</f>
        <v/>
      </c>
      <c r="I8" s="23" t="n">
        <v>17.6</v>
      </c>
      <c r="J8" s="24" t="n">
        <v>0.0960293607675413</v>
      </c>
      <c r="K8" s="24" t="n">
        <v>0.804097792162756</v>
      </c>
      <c r="L8" s="29" t="inlineStr">
        <is>
          <t>C</t>
        </is>
      </c>
      <c r="M8" s="18" t="n">
        <v>30</v>
      </c>
      <c r="N8" s="21" t="inlineStr">
        <is>
          <t>7 (odd)</t>
        </is>
      </c>
      <c r="O8" s="30" t="inlineStr">
        <is>
          <t>C</t>
        </is>
      </c>
      <c r="P8" s="27" t="inlineStr">
        <is>
          <t>R30-C07-C</t>
        </is>
      </c>
      <c r="Q8" s="18" t="n">
        <v>2</v>
      </c>
      <c r="R8" s="28" t="inlineStr">
        <is>
          <t>Level C — mid rack, moderate reach</t>
        </is>
      </c>
    </row>
    <row r="9" ht="21.75" customHeight="1">
      <c r="A9" s="7" t="n">
        <v>5</v>
      </c>
      <c r="B9" s="8" t="inlineStr">
        <is>
          <t>62231</t>
        </is>
      </c>
      <c r="C9" s="9" t="inlineStr">
        <is>
          <t>Target GG Org Light Agave, 6ct-23.5oz</t>
        </is>
      </c>
      <c r="D9" s="10" t="n">
        <v>180</v>
      </c>
      <c r="E9" s="11" t="n">
        <v>3092</v>
      </c>
      <c r="F9" s="10" t="n">
        <v>194</v>
      </c>
      <c r="G9" s="12" t="n">
        <v>343.555555555556</v>
      </c>
      <c r="H9" s="12">
        <f>G9/D9</f>
        <v/>
      </c>
      <c r="I9" s="12" t="n">
        <v>15.9</v>
      </c>
      <c r="J9" s="13" t="n">
        <v>0.0893538319269449</v>
      </c>
      <c r="K9" s="13" t="n">
        <v>0.893451624089701</v>
      </c>
      <c r="L9" s="29" t="inlineStr">
        <is>
          <t>C</t>
        </is>
      </c>
      <c r="M9" s="7" t="n">
        <v>31</v>
      </c>
      <c r="N9" s="10" t="inlineStr">
        <is>
          <t>1</t>
        </is>
      </c>
      <c r="O9" s="30" t="inlineStr">
        <is>
          <t>C</t>
        </is>
      </c>
      <c r="P9" s="16" t="inlineStr">
        <is>
          <t>R31-C01-C</t>
        </is>
      </c>
      <c r="Q9" s="7" t="n">
        <v>2</v>
      </c>
      <c r="R9" s="17" t="inlineStr">
        <is>
          <t>Level C — mid rack, moderate reach</t>
        </is>
      </c>
    </row>
    <row r="10" ht="21.75" customHeight="1">
      <c r="A10" s="18" t="n">
        <v>6</v>
      </c>
      <c r="B10" s="19" t="inlineStr">
        <is>
          <t>62432</t>
        </is>
      </c>
      <c r="C10" s="20" t="inlineStr">
        <is>
          <t>Target GG Org Sugar, 6ct-4lb</t>
        </is>
      </c>
      <c r="D10" s="21" t="n">
        <v>81</v>
      </c>
      <c r="E10" s="22" t="n">
        <v>2511</v>
      </c>
      <c r="F10" s="21" t="n">
        <v>168</v>
      </c>
      <c r="G10" s="23" t="n">
        <v>279</v>
      </c>
      <c r="H10" s="23">
        <f>G10/D10</f>
        <v/>
      </c>
      <c r="I10" s="23" t="n">
        <v>14.9</v>
      </c>
      <c r="J10" s="24" t="n">
        <v>0.072563865449081</v>
      </c>
      <c r="K10" s="24" t="n">
        <v>0.966015489538782</v>
      </c>
      <c r="L10" s="29" t="inlineStr">
        <is>
          <t>C</t>
        </is>
      </c>
      <c r="M10" s="18" t="n">
        <v>31</v>
      </c>
      <c r="N10" s="21" t="inlineStr">
        <is>
          <t>2</t>
        </is>
      </c>
      <c r="O10" s="30" t="inlineStr">
        <is>
          <t>C</t>
        </is>
      </c>
      <c r="P10" s="27" t="inlineStr">
        <is>
          <t>R31-C02-C</t>
        </is>
      </c>
      <c r="Q10" s="18" t="n">
        <v>2</v>
      </c>
      <c r="R10" s="28" t="inlineStr">
        <is>
          <t>Level C — mid rack, moderate reach</t>
        </is>
      </c>
    </row>
    <row r="11" ht="21.75" customHeight="1">
      <c r="A11" s="7" t="n">
        <v>7</v>
      </c>
      <c r="B11" s="8" t="inlineStr">
        <is>
          <t>62232</t>
        </is>
      </c>
      <c r="C11" s="9" t="inlineStr">
        <is>
          <t>Target GG Org. Raw Agave 6ct-23.5oz</t>
        </is>
      </c>
      <c r="D11" s="10" t="n">
        <v>180</v>
      </c>
      <c r="E11" s="11" t="n">
        <v>1176</v>
      </c>
      <c r="F11" s="10" t="n">
        <v>179</v>
      </c>
      <c r="G11" s="12" t="n">
        <v>130.666666666667</v>
      </c>
      <c r="H11" s="12">
        <f>G11/D11</f>
        <v/>
      </c>
      <c r="I11" s="12" t="n">
        <v>6.6</v>
      </c>
      <c r="J11" s="13" t="n">
        <v>0.0339845104612184</v>
      </c>
      <c r="K11" s="13" t="n">
        <v>1</v>
      </c>
      <c r="L11" s="29" t="inlineStr">
        <is>
          <t>C</t>
        </is>
      </c>
      <c r="M11" s="7" t="n">
        <v>31</v>
      </c>
      <c r="N11" s="10" t="inlineStr">
        <is>
          <t>3</t>
        </is>
      </c>
      <c r="O11" s="30" t="inlineStr">
        <is>
          <t>C</t>
        </is>
      </c>
      <c r="P11" s="16" t="inlineStr">
        <is>
          <t>R31-C03-C</t>
        </is>
      </c>
      <c r="Q11" s="7" t="n">
        <v>2</v>
      </c>
      <c r="R11" s="17" t="inlineStr">
        <is>
          <t>Level C — mid rack, moderate reach</t>
        </is>
      </c>
    </row>
    <row r="12" ht="19.5" customFormat="1" customHeight="1" s="6">
      <c r="A12" s="216" t="inlineStr">
        <is>
          <t>TOTAL</t>
        </is>
      </c>
      <c r="B12" s="284" t="n"/>
      <c r="C12" s="284" t="n"/>
      <c r="D12" s="216" t="n"/>
      <c r="E12" s="31">
        <f>SUM(E5:E11)</f>
        <v/>
      </c>
      <c r="F12" s="32">
        <f>SUM(F5:F11)</f>
        <v/>
      </c>
      <c r="G12" s="32" t="n"/>
      <c r="H12" s="32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</row>
    <row r="13">
      <c r="A13" s="34" t="n"/>
    </row>
  </sheetData>
  <mergeCells count="3">
    <mergeCell ref="A12:C12"/>
    <mergeCell ref="A2:R2"/>
    <mergeCell ref="A1:R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zoomScaleNormal="100" workbookViewId="0">
      <pane ySplit="4" topLeftCell="A5" activePane="bottomLeft" state="frozen"/>
      <selection pane="bottomLeft" activeCell="U20" sqref="U20"/>
    </sheetView>
  </sheetViews>
  <sheetFormatPr baseColWidth="8" defaultColWidth="8.42578125" defaultRowHeight="14.45"/>
  <cols>
    <col width="6" customWidth="1" min="1" max="1"/>
    <col width="10" customWidth="1" min="2" max="2"/>
    <col width="36" customWidth="1" min="3" max="3"/>
    <col width="10.42578125" customWidth="1" min="4" max="4"/>
    <col width="13" customWidth="1" min="5" max="5"/>
    <col width="9" customWidth="1" min="6" max="6"/>
    <col width="9.85546875" customWidth="1" min="7" max="7"/>
    <col width="13" customWidth="1" min="8" max="8"/>
    <col width="12" customWidth="1" min="9" max="9"/>
    <col width="11" customWidth="1" min="10" max="10"/>
    <col width="12" customWidth="1" min="11" max="11"/>
    <col width="8" customWidth="1" min="12" max="13"/>
    <col width="14" customWidth="1" min="14" max="14"/>
    <col width="10" customWidth="1" min="15" max="15"/>
    <col width="22" customWidth="1" min="16" max="16"/>
    <col width="10" customWidth="1" min="17" max="17"/>
    <col width="28" customWidth="1" min="18" max="18"/>
  </cols>
  <sheetData>
    <row r="1" ht="33.75" customHeight="1">
      <c r="A1" s="217" t="inlineStr">
        <is>
          <t xml:space="preserve">  AMAZON Top SKU Analysis  |  Racks 30 &amp; 31  |  Forklift Operations</t>
        </is>
      </c>
    </row>
    <row r="2" ht="15.75" customHeight="1">
      <c r="A2" s="218" t="inlineStr">
        <is>
          <t>Levels A &amp; B = highest priority (ground/second level = fastest forklift access) | Source: Amazon Orders</t>
        </is>
      </c>
    </row>
    <row r="3" ht="6" customHeight="1"/>
    <row r="4" ht="30" customHeight="1">
      <c r="A4" s="35" t="inlineStr">
        <is>
          <t>Rank</t>
        </is>
      </c>
      <c r="B4" s="35" t="inlineStr">
        <is>
          <t>Item #</t>
        </is>
      </c>
      <c r="C4" s="35" t="inlineStr">
        <is>
          <t>Product Description</t>
        </is>
      </c>
      <c r="D4" s="35" t="inlineStr">
        <is>
          <t>Full Pallet Capacity</t>
        </is>
      </c>
      <c r="E4" s="35" t="inlineStr">
        <is>
          <t>Total Cases
Shipped</t>
        </is>
      </c>
      <c r="F4" s="35" t="inlineStr">
        <is>
          <t># Orders</t>
        </is>
      </c>
      <c r="G4" s="35" t="inlineStr">
        <is>
          <t>Avg Cases
/ Batch</t>
        </is>
      </c>
      <c r="H4" s="35" t="inlineStr">
        <is>
          <t>Full Pallets Needed / Batch</t>
        </is>
      </c>
      <c r="I4" s="35" t="inlineStr">
        <is>
          <t>Avg Cases
/ Order</t>
        </is>
      </c>
      <c r="J4" s="35" t="inlineStr">
        <is>
          <t>% of Total</t>
        </is>
      </c>
      <c r="K4" s="35" t="inlineStr">
        <is>
          <t>Cumulative
%</t>
        </is>
      </c>
      <c r="L4" s="35" t="inlineStr">
        <is>
          <t>ABC
Class</t>
        </is>
      </c>
      <c r="M4" s="35" t="inlineStr">
        <is>
          <t>Rack</t>
        </is>
      </c>
      <c r="N4" s="35" t="inlineStr">
        <is>
          <t>Column
(Rack 30 = Odd)</t>
        </is>
      </c>
      <c r="O4" s="35" t="inlineStr">
        <is>
          <t>Level
Assigned</t>
        </is>
      </c>
      <c r="P4" s="35" t="inlineStr">
        <is>
          <t>Cell Address
(Rack-Col-Level)</t>
        </is>
      </c>
      <c r="Q4" s="35" t="inlineStr">
        <is>
          <t>Pallet
Slots</t>
        </is>
      </c>
      <c r="R4" s="35" t="inlineStr">
        <is>
          <t>Notes</t>
        </is>
      </c>
    </row>
    <row r="5" ht="21.75" customHeight="1">
      <c r="A5" s="7" t="n">
        <v>1</v>
      </c>
      <c r="B5" s="8" t="inlineStr">
        <is>
          <t>95612</t>
        </is>
      </c>
      <c r="C5" s="9" t="inlineStr">
        <is>
          <t>WS Allulose Liquid Sweetener, 6ct-11.5oz</t>
        </is>
      </c>
      <c r="D5" s="10" t="n">
        <v>357</v>
      </c>
      <c r="E5" s="11" t="n">
        <v>3796</v>
      </c>
      <c r="F5" s="10" t="n">
        <v>57</v>
      </c>
      <c r="G5" s="12" t="n">
        <v>474.5</v>
      </c>
      <c r="H5" s="36">
        <f>G5/D5</f>
        <v/>
      </c>
      <c r="I5" s="12" t="n">
        <v>66.59999999999999</v>
      </c>
      <c r="J5" s="13" t="n">
        <v>0.193831699346405</v>
      </c>
      <c r="K5" s="13" t="n">
        <v>0.193831699346405</v>
      </c>
      <c r="L5" s="14" t="inlineStr">
        <is>
          <t>A</t>
        </is>
      </c>
      <c r="M5" s="7" t="n">
        <v>30</v>
      </c>
      <c r="N5" s="10" t="inlineStr">
        <is>
          <t>1 (odd)</t>
        </is>
      </c>
      <c r="O5" s="15" t="inlineStr">
        <is>
          <t>A</t>
        </is>
      </c>
      <c r="P5" s="16" t="inlineStr">
        <is>
          <t>R30-C01-A</t>
        </is>
      </c>
      <c r="Q5" s="7" t="n">
        <v>4</v>
      </c>
      <c r="R5" s="17" t="inlineStr">
        <is>
          <t>Ground level — fastest forklift reach</t>
        </is>
      </c>
    </row>
    <row r="6" ht="21.75" customHeight="1">
      <c r="A6" s="37" t="n">
        <v>2</v>
      </c>
      <c r="B6" s="38" t="inlineStr">
        <is>
          <t>45022</t>
        </is>
      </c>
      <c r="C6" s="39" t="inlineStr">
        <is>
          <t>WS FT Org Molasses 12-32 floz Btl</t>
        </is>
      </c>
      <c r="D6" s="40" t="n">
        <v>50</v>
      </c>
      <c r="E6" s="41" t="n">
        <v>2586</v>
      </c>
      <c r="F6" s="40" t="n">
        <v>71</v>
      </c>
      <c r="G6" s="42" t="n">
        <v>323.25</v>
      </c>
      <c r="H6" s="43">
        <f>G6/D6</f>
        <v/>
      </c>
      <c r="I6" s="42" t="n">
        <v>36.4</v>
      </c>
      <c r="J6" s="44" t="n">
        <v>0.132046568627451</v>
      </c>
      <c r="K6" s="44" t="n">
        <v>0.325878267973856</v>
      </c>
      <c r="L6" s="14" t="inlineStr">
        <is>
          <t>A</t>
        </is>
      </c>
      <c r="M6" s="37" t="n">
        <v>30</v>
      </c>
      <c r="N6" s="40" t="inlineStr">
        <is>
          <t>3 (odd)</t>
        </is>
      </c>
      <c r="O6" s="15" t="inlineStr">
        <is>
          <t>A</t>
        </is>
      </c>
      <c r="P6" s="45" t="inlineStr">
        <is>
          <t>R30-C03-A</t>
        </is>
      </c>
      <c r="Q6" s="37" t="n">
        <v>4</v>
      </c>
      <c r="R6" s="46" t="inlineStr">
        <is>
          <t>Ground level — fastest forklift reach</t>
        </is>
      </c>
    </row>
    <row r="7" ht="21.75" customHeight="1">
      <c r="A7" s="7" t="n">
        <v>3</v>
      </c>
      <c r="B7" s="8" t="inlineStr">
        <is>
          <t>32004</t>
        </is>
      </c>
      <c r="C7" s="9" t="inlineStr">
        <is>
          <t>WSI Organic ECJ PWD 6ct-1lb 12x</t>
        </is>
      </c>
      <c r="D7" s="10" t="n">
        <v>180</v>
      </c>
      <c r="E7" s="11" t="n">
        <v>2400</v>
      </c>
      <c r="F7" s="10" t="n">
        <v>46</v>
      </c>
      <c r="G7" s="12" t="n">
        <v>300</v>
      </c>
      <c r="H7" s="36">
        <f>G7/D7</f>
        <v/>
      </c>
      <c r="I7" s="12" t="n">
        <v>52.2</v>
      </c>
      <c r="J7" s="13" t="n">
        <v>0.122549019607843</v>
      </c>
      <c r="K7" s="13" t="n">
        <v>0.448427287581699</v>
      </c>
      <c r="L7" s="14" t="inlineStr">
        <is>
          <t>A</t>
        </is>
      </c>
      <c r="M7" s="7" t="n">
        <v>30</v>
      </c>
      <c r="N7" s="10" t="inlineStr">
        <is>
          <t>5 (odd)</t>
        </is>
      </c>
      <c r="O7" s="15" t="inlineStr">
        <is>
          <t>A</t>
        </is>
      </c>
      <c r="P7" s="16" t="inlineStr">
        <is>
          <t>R30-C05-A</t>
        </is>
      </c>
      <c r="Q7" s="7" t="n">
        <v>4</v>
      </c>
      <c r="R7" s="17" t="inlineStr">
        <is>
          <t>Ground level — fastest forklift reach</t>
        </is>
      </c>
    </row>
    <row r="8" ht="21.75" customHeight="1">
      <c r="A8" s="37" t="n">
        <v>4</v>
      </c>
      <c r="B8" s="38" t="inlineStr">
        <is>
          <t>95812</t>
        </is>
      </c>
      <c r="C8" s="39" t="inlineStr">
        <is>
          <t>W Allulose, 8ct-12 oz</t>
        </is>
      </c>
      <c r="D8" s="40" t="n">
        <v>187</v>
      </c>
      <c r="E8" s="41" t="n">
        <v>1964</v>
      </c>
      <c r="F8" s="40" t="n">
        <v>55</v>
      </c>
      <c r="G8" s="42" t="n">
        <v>245.5</v>
      </c>
      <c r="H8" s="43">
        <f>G8/D8</f>
        <v/>
      </c>
      <c r="I8" s="42" t="n">
        <v>35.7</v>
      </c>
      <c r="J8" s="44" t="n">
        <v>0.100285947712418</v>
      </c>
      <c r="K8" s="44" t="n">
        <v>0.548713235294118</v>
      </c>
      <c r="L8" s="25" t="inlineStr">
        <is>
          <t>B</t>
        </is>
      </c>
      <c r="M8" s="37" t="n">
        <v>31</v>
      </c>
      <c r="N8" s="40" t="inlineStr">
        <is>
          <t>1</t>
        </is>
      </c>
      <c r="O8" s="26" t="inlineStr">
        <is>
          <t>B</t>
        </is>
      </c>
      <c r="P8" s="45" t="inlineStr">
        <is>
          <t>R31-C01-B</t>
        </is>
      </c>
      <c r="Q8" s="37" t="n">
        <v>2</v>
      </c>
      <c r="R8" s="46" t="inlineStr">
        <is>
          <t>Level B — second tier, efficient forklift access</t>
        </is>
      </c>
    </row>
    <row r="9" ht="21.75" customHeight="1">
      <c r="A9" s="7" t="n">
        <v>5</v>
      </c>
      <c r="B9" s="8" t="inlineStr">
        <is>
          <t>46410</t>
        </is>
      </c>
      <c r="C9" s="9" t="inlineStr">
        <is>
          <t>WS FT Org Sugar 4-10lb</t>
        </is>
      </c>
      <c r="D9" s="10" t="n">
        <v>54</v>
      </c>
      <c r="E9" s="11" t="n">
        <v>1942</v>
      </c>
      <c r="F9" s="10" t="n">
        <v>45</v>
      </c>
      <c r="G9" s="12" t="n">
        <v>242.75</v>
      </c>
      <c r="H9" s="36">
        <f>G9/D9</f>
        <v/>
      </c>
      <c r="I9" s="12" t="n">
        <v>43.2</v>
      </c>
      <c r="J9" s="13" t="n">
        <v>0.0991625816993464</v>
      </c>
      <c r="K9" s="13" t="n">
        <v>0.647875816993464</v>
      </c>
      <c r="L9" s="25" t="inlineStr">
        <is>
          <t>B</t>
        </is>
      </c>
      <c r="M9" s="7" t="n">
        <v>31</v>
      </c>
      <c r="N9" s="10" t="inlineStr">
        <is>
          <t>2</t>
        </is>
      </c>
      <c r="O9" s="26" t="inlineStr">
        <is>
          <t>B</t>
        </is>
      </c>
      <c r="P9" s="16" t="inlineStr">
        <is>
          <t>R31-C02-B</t>
        </is>
      </c>
      <c r="Q9" s="7" t="n">
        <v>2</v>
      </c>
      <c r="R9" s="17" t="inlineStr">
        <is>
          <t>Level B — second tier, efficient forklift access</t>
        </is>
      </c>
    </row>
    <row r="10" ht="21.75" customHeight="1">
      <c r="A10" s="37" t="n">
        <v>6</v>
      </c>
      <c r="B10" s="38" t="inlineStr">
        <is>
          <t>45021</t>
        </is>
      </c>
      <c r="C10" s="39" t="inlineStr">
        <is>
          <t>WS FT Org Molasses 12-16 floz Btl</t>
        </is>
      </c>
      <c r="D10" s="40" t="n">
        <v>73</v>
      </c>
      <c r="E10" s="41" t="n">
        <v>1898</v>
      </c>
      <c r="F10" s="40" t="n">
        <v>60</v>
      </c>
      <c r="G10" s="42" t="n">
        <v>237.25</v>
      </c>
      <c r="H10" s="43">
        <f>G10/D10</f>
        <v/>
      </c>
      <c r="I10" s="42" t="n">
        <v>31.6</v>
      </c>
      <c r="J10" s="44" t="n">
        <v>0.0969158496732026</v>
      </c>
      <c r="K10" s="44" t="n">
        <v>0.744791666666667</v>
      </c>
      <c r="L10" s="25" t="inlineStr">
        <is>
          <t>B</t>
        </is>
      </c>
      <c r="M10" s="37" t="n">
        <v>31</v>
      </c>
      <c r="N10" s="40" t="inlineStr">
        <is>
          <t>3</t>
        </is>
      </c>
      <c r="O10" s="26" t="inlineStr">
        <is>
          <t>B</t>
        </is>
      </c>
      <c r="P10" s="45" t="inlineStr">
        <is>
          <t>R31-C03-B</t>
        </is>
      </c>
      <c r="Q10" s="37" t="n">
        <v>2</v>
      </c>
      <c r="R10" s="46" t="inlineStr">
        <is>
          <t>Level B — second tier, efficient forklift access</t>
        </is>
      </c>
    </row>
    <row r="11" ht="21.75" customHeight="1">
      <c r="A11" s="7" t="n">
        <v>7</v>
      </c>
      <c r="B11" s="8" t="inlineStr">
        <is>
          <t>44652</t>
        </is>
      </c>
      <c r="C11" s="9" t="inlineStr">
        <is>
          <t>WSI FT Organic Dark Brown Sugar 6ct-1.5lb</t>
        </is>
      </c>
      <c r="D11" s="10" t="n">
        <v>180</v>
      </c>
      <c r="E11" s="11" t="n">
        <v>750</v>
      </c>
      <c r="F11" s="10" t="n">
        <v>50</v>
      </c>
      <c r="G11" s="12" t="n">
        <v>93.75</v>
      </c>
      <c r="H11" s="36">
        <f>G11/D11</f>
        <v/>
      </c>
      <c r="I11" s="12" t="n">
        <v>15</v>
      </c>
      <c r="J11" s="13" t="n">
        <v>0.038296568627451</v>
      </c>
      <c r="K11" s="13" t="n">
        <v>0.783088235294118</v>
      </c>
      <c r="L11" s="25" t="inlineStr">
        <is>
          <t>B</t>
        </is>
      </c>
      <c r="M11" s="7" t="n">
        <v>31</v>
      </c>
      <c r="N11" s="10" t="inlineStr">
        <is>
          <t>4</t>
        </is>
      </c>
      <c r="O11" s="26" t="inlineStr">
        <is>
          <t>B</t>
        </is>
      </c>
      <c r="P11" s="16" t="inlineStr">
        <is>
          <t>R31-C04-B</t>
        </is>
      </c>
      <c r="Q11" s="7" t="n">
        <v>2</v>
      </c>
      <c r="R11" s="17" t="inlineStr">
        <is>
          <t>Level B — second tier, efficient forklift access</t>
        </is>
      </c>
    </row>
    <row r="12" ht="21.75" customHeight="1">
      <c r="A12" s="37" t="n">
        <v>8</v>
      </c>
      <c r="B12" s="38" t="inlineStr">
        <is>
          <t>94675</t>
        </is>
      </c>
      <c r="C12" s="39" t="inlineStr">
        <is>
          <t>WS Org Stevia 6ct 75-1g packets</t>
        </is>
      </c>
      <c r="D12" s="40" t="n">
        <v>198</v>
      </c>
      <c r="E12" s="41" t="n">
        <v>661</v>
      </c>
      <c r="F12" s="40" t="n">
        <v>52</v>
      </c>
      <c r="G12" s="42" t="n">
        <v>82.625</v>
      </c>
      <c r="H12" s="43">
        <f>G12/D12</f>
        <v/>
      </c>
      <c r="I12" s="42" t="n">
        <v>12.7</v>
      </c>
      <c r="J12" s="44" t="n">
        <v>0.0337520424836601</v>
      </c>
      <c r="K12" s="44" t="n">
        <v>0.816840277777778</v>
      </c>
      <c r="L12" s="29" t="inlineStr">
        <is>
          <t>C</t>
        </is>
      </c>
      <c r="M12" s="37" t="n">
        <v>31</v>
      </c>
      <c r="N12" s="40" t="inlineStr">
        <is>
          <t>1</t>
        </is>
      </c>
      <c r="O12" s="30" t="inlineStr">
        <is>
          <t>C</t>
        </is>
      </c>
      <c r="P12" s="45" t="inlineStr">
        <is>
          <t>R31-C01-C</t>
        </is>
      </c>
      <c r="Q12" s="37" t="n">
        <v>2</v>
      </c>
      <c r="R12" s="46" t="inlineStr">
        <is>
          <t>Level C — mid rack, moderate reach</t>
        </is>
      </c>
    </row>
    <row r="13" ht="21.75" customHeight="1">
      <c r="A13" s="7" t="n">
        <v>9</v>
      </c>
      <c r="B13" s="8" t="inlineStr">
        <is>
          <t>92106</t>
        </is>
      </c>
      <c r="C13" s="9" t="inlineStr">
        <is>
          <t>WS Org Coconut Palm Sugar 6ct-1lb</t>
        </is>
      </c>
      <c r="D13" s="10" t="n">
        <v>192</v>
      </c>
      <c r="E13" s="11" t="n">
        <v>473</v>
      </c>
      <c r="F13" s="10" t="n">
        <v>35</v>
      </c>
      <c r="G13" s="12" t="n">
        <v>59.125</v>
      </c>
      <c r="H13" s="36">
        <f>G13/D13</f>
        <v/>
      </c>
      <c r="I13" s="12" t="n">
        <v>13.5</v>
      </c>
      <c r="J13" s="13" t="n">
        <v>0.0241523692810458</v>
      </c>
      <c r="K13" s="13" t="n">
        <v>0.840992647058824</v>
      </c>
      <c r="L13" s="29" t="inlineStr">
        <is>
          <t>C</t>
        </is>
      </c>
      <c r="M13" s="7" t="n">
        <v>31</v>
      </c>
      <c r="N13" s="10" t="inlineStr">
        <is>
          <t>2</t>
        </is>
      </c>
      <c r="O13" s="30" t="inlineStr">
        <is>
          <t>C</t>
        </is>
      </c>
      <c r="P13" s="16" t="inlineStr">
        <is>
          <t>R31-C02-C</t>
        </is>
      </c>
      <c r="Q13" s="7" t="n">
        <v>2</v>
      </c>
      <c r="R13" s="17" t="inlineStr">
        <is>
          <t>Level C — mid rack, moderate reach</t>
        </is>
      </c>
    </row>
    <row r="14" ht="21.75" customHeight="1">
      <c r="A14" s="37" t="n">
        <v>10</v>
      </c>
      <c r="B14" s="38" t="inlineStr">
        <is>
          <t>20441</t>
        </is>
      </c>
      <c r="C14" s="39" t="inlineStr">
        <is>
          <t>Organic Blue Agave 6-44 oz</t>
        </is>
      </c>
      <c r="D14" s="40" t="n">
        <v>108</v>
      </c>
      <c r="E14" s="41" t="n">
        <v>412</v>
      </c>
      <c r="F14" s="40" t="n">
        <v>40</v>
      </c>
      <c r="G14" s="42" t="n">
        <v>51.5</v>
      </c>
      <c r="H14" s="43">
        <f>G14/D14</f>
        <v/>
      </c>
      <c r="I14" s="42" t="n">
        <v>10.3</v>
      </c>
      <c r="J14" s="44" t="n">
        <v>0.0210375816993464</v>
      </c>
      <c r="K14" s="44" t="n">
        <v>0.86203022875817</v>
      </c>
      <c r="L14" s="29" t="inlineStr">
        <is>
          <t>C</t>
        </is>
      </c>
      <c r="M14" s="37" t="n">
        <v>31</v>
      </c>
      <c r="N14" s="40" t="inlineStr">
        <is>
          <t>3</t>
        </is>
      </c>
      <c r="O14" s="30" t="inlineStr">
        <is>
          <t>C</t>
        </is>
      </c>
      <c r="P14" s="45" t="inlineStr">
        <is>
          <t>R31-C03-C</t>
        </is>
      </c>
      <c r="Q14" s="37" t="n">
        <v>2</v>
      </c>
      <c r="R14" s="46" t="inlineStr">
        <is>
          <t>Level C — mid rack, moderate reach</t>
        </is>
      </c>
    </row>
    <row r="15" ht="21.75" customHeight="1">
      <c r="A15" s="7" t="n">
        <v>11</v>
      </c>
      <c r="B15" s="8" t="inlineStr">
        <is>
          <t>45026</t>
        </is>
      </c>
      <c r="C15" s="9" t="inlineStr">
        <is>
          <t>WSI FT Organic Sucanat 12ct-2lb</t>
        </is>
      </c>
      <c r="D15" s="10" t="n">
        <v>46</v>
      </c>
      <c r="E15" s="11" t="n">
        <v>375</v>
      </c>
      <c r="F15" s="10" t="n">
        <v>44</v>
      </c>
      <c r="G15" s="12" t="n">
        <v>46.875</v>
      </c>
      <c r="H15" s="36">
        <f>G15/D15</f>
        <v/>
      </c>
      <c r="I15" s="12" t="n">
        <v>8.5</v>
      </c>
      <c r="J15" s="13" t="n">
        <v>0.0191482843137255</v>
      </c>
      <c r="K15" s="13" t="n">
        <v>0.881178513071896</v>
      </c>
      <c r="L15" s="29" t="inlineStr">
        <is>
          <t>C</t>
        </is>
      </c>
      <c r="M15" s="7" t="n">
        <v>31</v>
      </c>
      <c r="N15" s="10" t="inlineStr">
        <is>
          <t>4</t>
        </is>
      </c>
      <c r="O15" s="30" t="inlineStr">
        <is>
          <t>C</t>
        </is>
      </c>
      <c r="P15" s="16" t="inlineStr">
        <is>
          <t>R31-C04-C</t>
        </is>
      </c>
      <c r="Q15" s="7" t="n">
        <v>2</v>
      </c>
      <c r="R15" s="17" t="inlineStr">
        <is>
          <t>Level C — mid rack, moderate reach</t>
        </is>
      </c>
    </row>
    <row r="16" ht="21.75" customHeight="1">
      <c r="A16" s="37" t="n">
        <v>12</v>
      </c>
      <c r="B16" s="38" t="inlineStr">
        <is>
          <t>32134</t>
        </is>
      </c>
      <c r="C16" s="39" t="inlineStr">
        <is>
          <t>BLTN Nat Lt Brown Muscovado 10-1lb Ctn</t>
        </is>
      </c>
      <c r="D16" s="40" t="n">
        <v>210</v>
      </c>
      <c r="E16" s="41" t="n">
        <v>328</v>
      </c>
      <c r="F16" s="40" t="n">
        <v>58</v>
      </c>
      <c r="G16" s="42" t="n">
        <v>41</v>
      </c>
      <c r="H16" s="43">
        <f>G16/D16</f>
        <v/>
      </c>
      <c r="I16" s="42" t="n">
        <v>5.7</v>
      </c>
      <c r="J16" s="44" t="n">
        <v>0.0167483660130719</v>
      </c>
      <c r="K16" s="44" t="n">
        <v>0.897926879084968</v>
      </c>
      <c r="L16" s="29" t="inlineStr">
        <is>
          <t>C</t>
        </is>
      </c>
      <c r="M16" s="37" t="n">
        <v>31</v>
      </c>
      <c r="N16" s="40" t="inlineStr">
        <is>
          <t>5</t>
        </is>
      </c>
      <c r="O16" s="30" t="inlineStr">
        <is>
          <t>C</t>
        </is>
      </c>
      <c r="P16" s="45" t="inlineStr">
        <is>
          <t>R31-C05-C</t>
        </is>
      </c>
      <c r="Q16" s="37" t="n">
        <v>2</v>
      </c>
      <c r="R16" s="46" t="inlineStr">
        <is>
          <t>Level C — mid rack, moderate reach</t>
        </is>
      </c>
    </row>
    <row r="17" ht="21.75" customHeight="1">
      <c r="A17" s="7" t="n">
        <v>13</v>
      </c>
      <c r="B17" s="8" t="inlineStr">
        <is>
          <t>45036</t>
        </is>
      </c>
      <c r="C17" s="9" t="inlineStr">
        <is>
          <t>WSI Organic Sugar 6ct-2lb</t>
        </is>
      </c>
      <c r="D17" s="10" t="n">
        <v>156</v>
      </c>
      <c r="E17" s="11" t="n">
        <v>235</v>
      </c>
      <c r="F17" s="10" t="n">
        <v>43</v>
      </c>
      <c r="G17" s="12" t="n">
        <v>29.375</v>
      </c>
      <c r="H17" s="36">
        <f>G17/D17</f>
        <v/>
      </c>
      <c r="I17" s="12" t="n">
        <v>5.5</v>
      </c>
      <c r="J17" s="13" t="n">
        <v>0.011999591503268</v>
      </c>
      <c r="K17" s="13" t="n">
        <v>0.9099264705882359</v>
      </c>
      <c r="L17" s="29" t="inlineStr">
        <is>
          <t>C</t>
        </is>
      </c>
      <c r="M17" s="7" t="n">
        <v>31</v>
      </c>
      <c r="N17" s="10" t="inlineStr">
        <is>
          <t>6</t>
        </is>
      </c>
      <c r="O17" s="30" t="inlineStr">
        <is>
          <t>C</t>
        </is>
      </c>
      <c r="P17" s="16" t="inlineStr">
        <is>
          <t>R31-C06-C</t>
        </is>
      </c>
      <c r="Q17" s="7" t="n">
        <v>2</v>
      </c>
      <c r="R17" s="17" t="inlineStr">
        <is>
          <t>Level C — mid rack, moderate reach</t>
        </is>
      </c>
    </row>
    <row r="18" ht="21.75" customHeight="1">
      <c r="A18" s="37" t="n">
        <v>14</v>
      </c>
      <c r="B18" s="38" t="inlineStr">
        <is>
          <t>32139</t>
        </is>
      </c>
      <c r="C18" s="39" t="inlineStr">
        <is>
          <t>BLTN Nat Demerara 10-1lb Ct</t>
        </is>
      </c>
      <c r="D18" s="40" t="n">
        <v>210</v>
      </c>
      <c r="E18" s="41" t="n">
        <v>235</v>
      </c>
      <c r="F18" s="40" t="n">
        <v>38</v>
      </c>
      <c r="G18" s="42" t="n">
        <v>29.375</v>
      </c>
      <c r="H18" s="43">
        <f>G18/D18</f>
        <v/>
      </c>
      <c r="I18" s="42" t="n">
        <v>6.2</v>
      </c>
      <c r="J18" s="44" t="n">
        <v>0.011999591503268</v>
      </c>
      <c r="K18" s="44" t="n">
        <v>0.921926062091504</v>
      </c>
      <c r="L18" s="29" t="inlineStr">
        <is>
          <t>C</t>
        </is>
      </c>
      <c r="M18" s="37" t="n">
        <v>31</v>
      </c>
      <c r="N18" s="40" t="inlineStr">
        <is>
          <t>7</t>
        </is>
      </c>
      <c r="O18" s="30" t="inlineStr">
        <is>
          <t>C</t>
        </is>
      </c>
      <c r="P18" s="45" t="inlineStr">
        <is>
          <t>R31-C07-C</t>
        </is>
      </c>
      <c r="Q18" s="37" t="n">
        <v>2</v>
      </c>
      <c r="R18" s="46" t="inlineStr">
        <is>
          <t>Level C — mid rack, moderate reach</t>
        </is>
      </c>
    </row>
    <row r="19" ht="21.75" customHeight="1">
      <c r="A19" s="7" t="n">
        <v>15</v>
      </c>
      <c r="B19" s="8" t="inlineStr">
        <is>
          <t>20231</t>
        </is>
      </c>
      <c r="C19" s="9" t="inlineStr">
        <is>
          <t>W Organic Blue Agave, 6/23.5oz</t>
        </is>
      </c>
      <c r="D19" s="10" t="n">
        <v>180</v>
      </c>
      <c r="E19" s="11" t="n">
        <v>217</v>
      </c>
      <c r="F19" s="10" t="n">
        <v>35</v>
      </c>
      <c r="G19" s="12" t="n">
        <v>27.125</v>
      </c>
      <c r="H19" s="36">
        <f>G19/D19</f>
        <v/>
      </c>
      <c r="I19" s="12" t="n">
        <v>6.2</v>
      </c>
      <c r="J19" s="13" t="n">
        <v>0.0110804738562092</v>
      </c>
      <c r="K19" s="13" t="n">
        <v>0.933006535947713</v>
      </c>
      <c r="L19" s="29" t="inlineStr">
        <is>
          <t>C</t>
        </is>
      </c>
      <c r="M19" s="7" t="n">
        <v>31</v>
      </c>
      <c r="N19" s="10" t="inlineStr">
        <is>
          <t>8</t>
        </is>
      </c>
      <c r="O19" s="30" t="inlineStr">
        <is>
          <t>C</t>
        </is>
      </c>
      <c r="P19" s="16" t="inlineStr">
        <is>
          <t>R31-C08-C</t>
        </is>
      </c>
      <c r="Q19" s="7" t="n">
        <v>2</v>
      </c>
      <c r="R19" s="17" t="inlineStr">
        <is>
          <t>Level C — mid rack, moderate reach</t>
        </is>
      </c>
    </row>
    <row r="20" ht="21.75" customHeight="1">
      <c r="A20" s="37" t="n">
        <v>16</v>
      </c>
      <c r="B20" s="38" t="inlineStr">
        <is>
          <t>45641</t>
        </is>
      </c>
      <c r="C20" s="39" t="inlineStr">
        <is>
          <t>WS Regen FT Org Light Brown Sugar, 6ct-4lb</t>
        </is>
      </c>
      <c r="D20" s="40" t="n">
        <v>81</v>
      </c>
      <c r="E20" s="41" t="n">
        <v>172</v>
      </c>
      <c r="F20" s="40" t="n">
        <v>27</v>
      </c>
      <c r="G20" s="42" t="n">
        <v>21.5</v>
      </c>
      <c r="H20" s="43">
        <f>G20/D20</f>
        <v/>
      </c>
      <c r="I20" s="42" t="n">
        <v>6.4</v>
      </c>
      <c r="J20" s="44" t="n">
        <v>0.00878267973856209</v>
      </c>
      <c r="K20" s="44" t="n">
        <v>0.941789215686275</v>
      </c>
      <c r="L20" s="29" t="inlineStr">
        <is>
          <t>C</t>
        </is>
      </c>
      <c r="M20" s="37" t="n">
        <v>31</v>
      </c>
      <c r="N20" s="40" t="inlineStr">
        <is>
          <t>9</t>
        </is>
      </c>
      <c r="O20" s="30" t="inlineStr">
        <is>
          <t>C</t>
        </is>
      </c>
      <c r="P20" s="45" t="inlineStr">
        <is>
          <t>R31-C09-C</t>
        </is>
      </c>
      <c r="Q20" s="37" t="n">
        <v>2</v>
      </c>
      <c r="R20" s="46" t="inlineStr">
        <is>
          <t>Level C — mid rack, moderate reach</t>
        </is>
      </c>
    </row>
    <row r="21" ht="21.75" customHeight="1">
      <c r="A21" s="7" t="n">
        <v>17</v>
      </c>
      <c r="B21" s="8" t="inlineStr">
        <is>
          <t>94660</t>
        </is>
      </c>
      <c r="C21" s="9" t="inlineStr">
        <is>
          <t>Wholesome Organic Stevia 6x6oz Jar</t>
        </is>
      </c>
      <c r="D21" s="10" t="n">
        <v>304</v>
      </c>
      <c r="E21" s="11" t="n">
        <v>169</v>
      </c>
      <c r="F21" s="10" t="n">
        <v>35</v>
      </c>
      <c r="G21" s="12" t="n">
        <v>21.125</v>
      </c>
      <c r="H21" s="36">
        <f>G21/D21</f>
        <v/>
      </c>
      <c r="I21" s="12" t="n">
        <v>4.8</v>
      </c>
      <c r="J21" s="13" t="n">
        <v>0.00862949346405229</v>
      </c>
      <c r="K21" s="13" t="n">
        <v>0.950418709150327</v>
      </c>
      <c r="L21" s="29" t="inlineStr">
        <is>
          <t>C</t>
        </is>
      </c>
      <c r="M21" s="7" t="n">
        <v>31</v>
      </c>
      <c r="N21" s="10" t="inlineStr">
        <is>
          <t>10</t>
        </is>
      </c>
      <c r="O21" s="30" t="inlineStr">
        <is>
          <t>C</t>
        </is>
      </c>
      <c r="P21" s="16" t="inlineStr">
        <is>
          <t>R31-C10-C</t>
        </is>
      </c>
      <c r="Q21" s="7" t="n">
        <v>2</v>
      </c>
      <c r="R21" s="17" t="inlineStr">
        <is>
          <t>Level C — mid rack, moderate reach</t>
        </is>
      </c>
    </row>
    <row r="22" ht="21.75" customHeight="1">
      <c r="A22" s="37" t="n">
        <v>18</v>
      </c>
      <c r="B22" s="38" t="inlineStr">
        <is>
          <t>32137</t>
        </is>
      </c>
      <c r="C22" s="39" t="inlineStr">
        <is>
          <t>BLTN Nat Dk Brn Molasses Sugar 10-1lb Ctn</t>
        </is>
      </c>
      <c r="D22" s="40" t="n">
        <v>210</v>
      </c>
      <c r="E22" s="41" t="n">
        <v>166</v>
      </c>
      <c r="F22" s="40" t="n">
        <v>47</v>
      </c>
      <c r="G22" s="42" t="n">
        <v>20.75</v>
      </c>
      <c r="H22" s="43">
        <f>G22/D22</f>
        <v/>
      </c>
      <c r="I22" s="42" t="n">
        <v>3.5</v>
      </c>
      <c r="J22" s="44" t="n">
        <v>0.00847630718954248</v>
      </c>
      <c r="K22" s="44" t="n">
        <v>0.95889501633987</v>
      </c>
      <c r="L22" s="29" t="inlineStr">
        <is>
          <t>C</t>
        </is>
      </c>
      <c r="M22" s="37" t="n">
        <v>31</v>
      </c>
      <c r="N22" s="40" t="inlineStr">
        <is>
          <t>11</t>
        </is>
      </c>
      <c r="O22" s="30" t="inlineStr">
        <is>
          <t>C</t>
        </is>
      </c>
      <c r="P22" s="45" t="inlineStr">
        <is>
          <t>R31-C11-C</t>
        </is>
      </c>
      <c r="Q22" s="37" t="n">
        <v>2</v>
      </c>
      <c r="R22" s="46" t="inlineStr">
        <is>
          <t>Level C — mid rack, moderate reach</t>
        </is>
      </c>
    </row>
    <row r="23" ht="21.75" customHeight="1">
      <c r="A23" s="7" t="n">
        <v>19</v>
      </c>
      <c r="B23" s="8" t="inlineStr">
        <is>
          <t>89416</t>
        </is>
      </c>
      <c r="C23" s="9" t="inlineStr">
        <is>
          <t>W! FT Org Raw Unfiltered Honey 6-16oz Sqz</t>
        </is>
      </c>
      <c r="D23" s="10" t="n">
        <v>329</v>
      </c>
      <c r="E23" s="11" t="n">
        <v>157</v>
      </c>
      <c r="F23" s="10" t="n">
        <v>32</v>
      </c>
      <c r="G23" s="12" t="n">
        <v>19.625</v>
      </c>
      <c r="H23" s="36">
        <f>G23/D23</f>
        <v/>
      </c>
      <c r="I23" s="12" t="n">
        <v>4.9</v>
      </c>
      <c r="J23" s="13" t="n">
        <v>0.008016748366013069</v>
      </c>
      <c r="K23" s="13" t="n">
        <v>0.966911764705883</v>
      </c>
      <c r="L23" s="29" t="inlineStr">
        <is>
          <t>C</t>
        </is>
      </c>
      <c r="M23" s="7" t="n">
        <v>31</v>
      </c>
      <c r="N23" s="10" t="inlineStr">
        <is>
          <t>12</t>
        </is>
      </c>
      <c r="O23" s="30" t="inlineStr">
        <is>
          <t>C</t>
        </is>
      </c>
      <c r="P23" s="16" t="inlineStr">
        <is>
          <t>R31-C12-C</t>
        </is>
      </c>
      <c r="Q23" s="7" t="n">
        <v>2</v>
      </c>
      <c r="R23" s="17" t="inlineStr">
        <is>
          <t>Level C — mid rack, moderate reach</t>
        </is>
      </c>
    </row>
    <row r="24" ht="21.75" customHeight="1">
      <c r="A24" s="37" t="n">
        <v>20</v>
      </c>
      <c r="B24" s="38" t="inlineStr">
        <is>
          <t>21442</t>
        </is>
      </c>
      <c r="C24" s="39" t="inlineStr">
        <is>
          <t>W! Organic Raw Agave 6-44 oz</t>
        </is>
      </c>
      <c r="D24" s="40" t="n">
        <v>16</v>
      </c>
      <c r="E24" s="41" t="n">
        <v>147</v>
      </c>
      <c r="F24" s="40" t="n">
        <v>38</v>
      </c>
      <c r="G24" s="42" t="n">
        <v>18.375</v>
      </c>
      <c r="H24" s="43">
        <f>G24/D24</f>
        <v/>
      </c>
      <c r="I24" s="42" t="n">
        <v>3.9</v>
      </c>
      <c r="J24" s="44" t="n">
        <v>0.00750612745098039</v>
      </c>
      <c r="K24" s="44" t="n">
        <v>0.974417892156863</v>
      </c>
      <c r="L24" s="29" t="inlineStr">
        <is>
          <t>C</t>
        </is>
      </c>
      <c r="M24" s="37" t="n">
        <v>31</v>
      </c>
      <c r="N24" s="40" t="inlineStr">
        <is>
          <t>13</t>
        </is>
      </c>
      <c r="O24" s="30" t="inlineStr">
        <is>
          <t>C</t>
        </is>
      </c>
      <c r="P24" s="45" t="inlineStr">
        <is>
          <t>R31-C13-C</t>
        </is>
      </c>
      <c r="Q24" s="37" t="n">
        <v>2</v>
      </c>
      <c r="R24" s="46" t="inlineStr">
        <is>
          <t>Level C — mid rack, moderate reach</t>
        </is>
      </c>
    </row>
    <row r="25" ht="21.75" customHeight="1">
      <c r="A25" s="7" t="n">
        <v>21</v>
      </c>
      <c r="B25" s="8" t="inlineStr">
        <is>
          <t>44471</t>
        </is>
      </c>
      <c r="C25" s="9" t="inlineStr">
        <is>
          <t>WS FT Organic Raw Turb 12-1.5lb</t>
        </is>
      </c>
      <c r="D25" s="10" t="n">
        <v>100</v>
      </c>
      <c r="E25" s="11" t="n">
        <v>124</v>
      </c>
      <c r="F25" s="10" t="n">
        <v>38</v>
      </c>
      <c r="G25" s="12" t="n">
        <v>15.5</v>
      </c>
      <c r="H25" s="36">
        <f>G25/D25</f>
        <v/>
      </c>
      <c r="I25" s="12" t="n">
        <v>3.3</v>
      </c>
      <c r="J25" s="13" t="n">
        <v>0.00633169934640523</v>
      </c>
      <c r="K25" s="13" t="n">
        <v>0.980749591503268</v>
      </c>
      <c r="L25" s="29" t="inlineStr">
        <is>
          <t>C</t>
        </is>
      </c>
      <c r="M25" s="7" t="n">
        <v>31</v>
      </c>
      <c r="N25" s="10" t="inlineStr">
        <is>
          <t>14</t>
        </is>
      </c>
      <c r="O25" s="30" t="inlineStr">
        <is>
          <t>C</t>
        </is>
      </c>
      <c r="P25" s="16" t="inlineStr">
        <is>
          <t>R31-C14-C</t>
        </is>
      </c>
      <c r="Q25" s="7" t="n">
        <v>2</v>
      </c>
      <c r="R25" s="17" t="inlineStr">
        <is>
          <t>Level C — mid rack, moderate reach</t>
        </is>
      </c>
    </row>
    <row r="26" ht="21.75" customHeight="1">
      <c r="A26" s="37" t="n">
        <v>22</v>
      </c>
      <c r="B26" s="38" t="inlineStr">
        <is>
          <t>30010</t>
        </is>
      </c>
      <c r="C26" s="39" t="inlineStr">
        <is>
          <t>W Org Corn Syrup 6-11.75oz</t>
        </is>
      </c>
      <c r="D26" s="40" t="n">
        <v>130</v>
      </c>
      <c r="E26" s="41" t="n">
        <v>108</v>
      </c>
      <c r="F26" s="40" t="n">
        <v>47</v>
      </c>
      <c r="G26" s="42" t="n">
        <v>13.5</v>
      </c>
      <c r="H26" s="43">
        <f>G26/D26</f>
        <v/>
      </c>
      <c r="I26" s="42" t="n">
        <v>2.3</v>
      </c>
      <c r="J26" s="44" t="n">
        <v>0.00551470588235294</v>
      </c>
      <c r="K26" s="44" t="n">
        <v>0.986264297385621</v>
      </c>
      <c r="L26" s="29" t="inlineStr">
        <is>
          <t>C</t>
        </is>
      </c>
      <c r="M26" s="37" t="n">
        <v>31</v>
      </c>
      <c r="N26" s="40" t="inlineStr">
        <is>
          <t>15</t>
        </is>
      </c>
      <c r="O26" s="30" t="inlineStr">
        <is>
          <t>C</t>
        </is>
      </c>
      <c r="P26" s="45" t="inlineStr">
        <is>
          <t>R31-C15-C</t>
        </is>
      </c>
      <c r="Q26" s="37" t="n">
        <v>2</v>
      </c>
      <c r="R26" s="46" t="inlineStr">
        <is>
          <t>Level C — mid rack, moderate reach</t>
        </is>
      </c>
    </row>
    <row r="27" ht="21.75" customHeight="1">
      <c r="A27" s="7" t="n">
        <v>23</v>
      </c>
      <c r="B27" s="8" t="inlineStr">
        <is>
          <t>89167</t>
        </is>
      </c>
      <c r="C27" s="9" t="inlineStr">
        <is>
          <t>WS FT Org Honey 6-16oz Sqz Btl</t>
        </is>
      </c>
      <c r="D27" s="10" t="n">
        <v>329</v>
      </c>
      <c r="E27" s="11" t="n">
        <v>97</v>
      </c>
      <c r="F27" s="10" t="n">
        <v>22</v>
      </c>
      <c r="G27" s="12" t="n">
        <v>12.125</v>
      </c>
      <c r="H27" s="36">
        <f>G27/D27</f>
        <v/>
      </c>
      <c r="I27" s="12" t="n">
        <v>4.4</v>
      </c>
      <c r="J27" s="13" t="n">
        <v>0.00495302287581699</v>
      </c>
      <c r="K27" s="13" t="n">
        <v>0.9912173202614381</v>
      </c>
      <c r="L27" s="29" t="inlineStr">
        <is>
          <t>C</t>
        </is>
      </c>
      <c r="M27" s="7" t="n">
        <v>31</v>
      </c>
      <c r="N27" s="10" t="inlineStr">
        <is>
          <t>16</t>
        </is>
      </c>
      <c r="O27" s="30" t="inlineStr">
        <is>
          <t>C</t>
        </is>
      </c>
      <c r="P27" s="16" t="inlineStr">
        <is>
          <t>R31-C16-C</t>
        </is>
      </c>
      <c r="Q27" s="7" t="n">
        <v>2</v>
      </c>
      <c r="R27" s="17" t="inlineStr">
        <is>
          <t>Level C — mid rack, moderate reach</t>
        </is>
      </c>
    </row>
    <row r="28" ht="21.75" customHeight="1">
      <c r="A28" s="37" t="n">
        <v>24</v>
      </c>
      <c r="B28" s="38" t="inlineStr">
        <is>
          <t>89247</t>
        </is>
      </c>
      <c r="C28" s="39" t="inlineStr">
        <is>
          <t>W! FT Org Honey 6-24oz Sqz Btl</t>
        </is>
      </c>
      <c r="D28" s="40" t="n">
        <v>180</v>
      </c>
      <c r="E28" s="41" t="n">
        <v>92</v>
      </c>
      <c r="F28" s="40" t="n">
        <v>31</v>
      </c>
      <c r="G28" s="42" t="n">
        <v>11.5</v>
      </c>
      <c r="H28" s="43">
        <f>G28/D28</f>
        <v/>
      </c>
      <c r="I28" s="42" t="n">
        <v>3</v>
      </c>
      <c r="J28" s="44" t="n">
        <v>0.00469771241830065</v>
      </c>
      <c r="K28" s="44" t="n">
        <v>0.995915032679739</v>
      </c>
      <c r="L28" s="29" t="inlineStr">
        <is>
          <t>C</t>
        </is>
      </c>
      <c r="M28" s="37" t="n">
        <v>31</v>
      </c>
      <c r="N28" s="40" t="inlineStr">
        <is>
          <t>16</t>
        </is>
      </c>
      <c r="O28" s="30" t="inlineStr">
        <is>
          <t>C</t>
        </is>
      </c>
      <c r="P28" s="45" t="inlineStr">
        <is>
          <t>R31-C16-C</t>
        </is>
      </c>
      <c r="Q28" s="37" t="n">
        <v>2</v>
      </c>
      <c r="R28" s="46" t="inlineStr">
        <is>
          <t>Level C — mid rack, moderate reach</t>
        </is>
      </c>
    </row>
    <row r="29" ht="21.75" customHeight="1">
      <c r="A29" s="7" t="n">
        <v>25</v>
      </c>
      <c r="B29" s="8" t="inlineStr">
        <is>
          <t>89168</t>
        </is>
      </c>
      <c r="C29" s="9" t="inlineStr">
        <is>
          <t>W Org White Honey 16oz</t>
        </is>
      </c>
      <c r="D29" s="47" t="n">
        <v>180</v>
      </c>
      <c r="E29" s="11" t="n">
        <v>80</v>
      </c>
      <c r="F29" s="10" t="n">
        <v>32</v>
      </c>
      <c r="G29" s="12" t="n">
        <v>10</v>
      </c>
      <c r="H29" s="36">
        <f>G29/D29</f>
        <v/>
      </c>
      <c r="I29" s="12" t="n">
        <v>2.5</v>
      </c>
      <c r="J29" s="13" t="n">
        <v>0.00408496732026144</v>
      </c>
      <c r="K29" s="13" t="n">
        <v>1</v>
      </c>
      <c r="L29" s="29" t="inlineStr">
        <is>
          <t>C</t>
        </is>
      </c>
      <c r="M29" s="7" t="n">
        <v>31</v>
      </c>
      <c r="N29" s="10" t="inlineStr">
        <is>
          <t>16</t>
        </is>
      </c>
      <c r="O29" s="30" t="inlineStr">
        <is>
          <t>C</t>
        </is>
      </c>
      <c r="P29" s="16" t="inlineStr">
        <is>
          <t>R31-C16-C</t>
        </is>
      </c>
      <c r="Q29" s="7" t="n">
        <v>2</v>
      </c>
      <c r="R29" s="17" t="inlineStr">
        <is>
          <t>Level C — mid rack, moderate reach</t>
        </is>
      </c>
    </row>
    <row r="30" ht="19.5" customHeight="1">
      <c r="A30" s="219" t="inlineStr">
        <is>
          <t>TOTAL</t>
        </is>
      </c>
      <c r="B30" s="284" t="n"/>
      <c r="C30" s="284" t="n"/>
      <c r="D30" s="219" t="n"/>
      <c r="E30" s="49">
        <f>SUM(E5:E29)</f>
        <v/>
      </c>
      <c r="F30" s="49" t="n">
        <v>1078</v>
      </c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</row>
  </sheetData>
  <mergeCells count="3">
    <mergeCell ref="A1:R1"/>
    <mergeCell ref="A2:R2"/>
    <mergeCell ref="A30:C3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showGridLines="0" zoomScale="88" zoomScaleNormal="88" workbookViewId="0">
      <selection activeCell="C9" sqref="C9"/>
    </sheetView>
  </sheetViews>
  <sheetFormatPr baseColWidth="8" defaultColWidth="8.42578125" defaultRowHeight="14.45"/>
  <cols>
    <col width="9" customWidth="1" min="1" max="1"/>
    <col width="12" customWidth="1" min="2" max="33"/>
  </cols>
  <sheetData>
    <row r="1" ht="33.75" customHeight="1">
      <c r="A1" s="221" t="inlineStr">
        <is>
          <t>RACK 30  Visual Cell Map  |  16 Odd Columns (1–31)  |  4 Levels (A–D)  |  2 Pallets/Cell  =  128 Total Spaces</t>
        </is>
      </c>
    </row>
    <row r="2" ht="15.75" customHeight="1">
      <c r="A2" s="222" t="inlineStr">
        <is>
          <t>Level A (ground, ~0-6ft) &amp; Level B (~6-12ft) = PRIME forklift access — assigned to highest-velocity SKUs first</t>
        </is>
      </c>
    </row>
    <row r="3" ht="3.75" customHeight="1"/>
    <row r="4" ht="18" customHeight="1">
      <c r="A4" s="223" t="inlineStr">
        <is>
          <t xml:space="preserve">  Level A — PRIME (ground, easiest forklift access)</t>
        </is>
      </c>
      <c r="B4" s="284" t="n"/>
      <c r="C4" s="284" t="n"/>
      <c r="D4" s="285" t="n"/>
      <c r="E4" s="224" t="inlineStr">
        <is>
          <t xml:space="preserve">  Level B — HIGH (second level, fast access)</t>
        </is>
      </c>
      <c r="F4" s="284" t="n"/>
      <c r="G4" s="284" t="n"/>
      <c r="H4" s="285" t="n"/>
      <c r="I4" s="225" t="inlineStr">
        <is>
          <t xml:space="preserve">  Level C — MEDIUM (~12 ft, moderate reach)</t>
        </is>
      </c>
      <c r="J4" s="284" t="n"/>
      <c r="K4" s="284" t="n"/>
      <c r="L4" s="285" t="n"/>
      <c r="M4" s="226" t="inlineStr">
        <is>
          <t xml:space="preserve">  Level D — UPPER (~18 ft, slowest access)</t>
        </is>
      </c>
      <c r="N4" s="284" t="n"/>
      <c r="O4" s="284" t="n"/>
      <c r="P4" s="285" t="n"/>
    </row>
    <row r="5" ht="6" customHeight="1"/>
    <row r="6" ht="19.5" customHeight="1">
      <c r="A6" s="51" t="inlineStr">
        <is>
          <t>LEVEL</t>
        </is>
      </c>
      <c r="B6" s="220" t="inlineStr">
        <is>
          <t>Col 1</t>
        </is>
      </c>
      <c r="C6" s="284" t="n"/>
      <c r="D6" s="220" t="inlineStr">
        <is>
          <t>Col 3</t>
        </is>
      </c>
      <c r="E6" s="284" t="n"/>
      <c r="F6" s="220" t="inlineStr">
        <is>
          <t>Col 5</t>
        </is>
      </c>
      <c r="G6" s="284" t="n"/>
      <c r="H6" s="220" t="inlineStr">
        <is>
          <t>Col 7</t>
        </is>
      </c>
      <c r="I6" s="284" t="n"/>
      <c r="J6" s="220" t="inlineStr">
        <is>
          <t>Col 9</t>
        </is>
      </c>
      <c r="K6" s="284" t="n"/>
      <c r="L6" s="220" t="inlineStr">
        <is>
          <t>Col 11</t>
        </is>
      </c>
      <c r="M6" s="284" t="n"/>
      <c r="N6" s="220" t="inlineStr">
        <is>
          <t>Col 13</t>
        </is>
      </c>
      <c r="O6" s="284" t="n"/>
      <c r="P6" s="220" t="inlineStr">
        <is>
          <t>Col 15</t>
        </is>
      </c>
      <c r="Q6" s="284" t="n"/>
      <c r="R6" s="220" t="inlineStr">
        <is>
          <t>Col 17</t>
        </is>
      </c>
      <c r="S6" s="284" t="n"/>
      <c r="T6" s="220" t="inlineStr">
        <is>
          <t>Col 19</t>
        </is>
      </c>
      <c r="U6" s="284" t="n"/>
      <c r="V6" s="220" t="inlineStr">
        <is>
          <t>Col 21</t>
        </is>
      </c>
      <c r="W6" s="284" t="n"/>
      <c r="X6" s="220" t="inlineStr">
        <is>
          <t>Col 23</t>
        </is>
      </c>
      <c r="Y6" s="284" t="n"/>
      <c r="Z6" s="220" t="inlineStr">
        <is>
          <t>Col 25</t>
        </is>
      </c>
      <c r="AA6" s="284" t="n"/>
      <c r="AB6" s="220" t="inlineStr">
        <is>
          <t>Col 27</t>
        </is>
      </c>
      <c r="AC6" s="284" t="n"/>
      <c r="AD6" s="220" t="inlineStr">
        <is>
          <t>Col 29</t>
        </is>
      </c>
      <c r="AE6" s="284" t="n"/>
      <c r="AF6" s="220" t="inlineStr">
        <is>
          <t>Col 31</t>
        </is>
      </c>
      <c r="AG6" s="284" t="n"/>
    </row>
    <row r="7" ht="15.75" customHeight="1">
      <c r="A7" s="52" t="n"/>
      <c r="B7" s="53" t="inlineStr">
        <is>
          <t>Pallet 1</t>
        </is>
      </c>
      <c r="C7" s="53" t="inlineStr">
        <is>
          <t>Pallet 2</t>
        </is>
      </c>
      <c r="D7" s="53" t="inlineStr">
        <is>
          <t>Pallet 1</t>
        </is>
      </c>
      <c r="E7" s="53" t="inlineStr">
        <is>
          <t>Pallet 2</t>
        </is>
      </c>
      <c r="F7" s="53" t="inlineStr">
        <is>
          <t>Pallet 1</t>
        </is>
      </c>
      <c r="G7" s="53" t="inlineStr">
        <is>
          <t>Pallet 2</t>
        </is>
      </c>
      <c r="H7" s="53" t="inlineStr">
        <is>
          <t>Pallet 1</t>
        </is>
      </c>
      <c r="I7" s="53" t="inlineStr">
        <is>
          <t>Pallet 2</t>
        </is>
      </c>
      <c r="J7" s="53" t="inlineStr">
        <is>
          <t>Pallet 1</t>
        </is>
      </c>
      <c r="K7" s="53" t="inlineStr">
        <is>
          <t>Pallet 2</t>
        </is>
      </c>
      <c r="L7" s="53" t="inlineStr">
        <is>
          <t>Pallet 1</t>
        </is>
      </c>
      <c r="M7" s="53" t="inlineStr">
        <is>
          <t>Pallet 2</t>
        </is>
      </c>
      <c r="N7" s="53" t="inlineStr">
        <is>
          <t>Pallet 1</t>
        </is>
      </c>
      <c r="O7" s="53" t="inlineStr">
        <is>
          <t>Pallet 2</t>
        </is>
      </c>
      <c r="P7" s="53" t="inlineStr">
        <is>
          <t>Pallet 1</t>
        </is>
      </c>
      <c r="Q7" s="53" t="inlineStr">
        <is>
          <t>Pallet 2</t>
        </is>
      </c>
      <c r="R7" s="53" t="inlineStr">
        <is>
          <t>Pallet 1</t>
        </is>
      </c>
      <c r="S7" s="53" t="inlineStr">
        <is>
          <t>Pallet 2</t>
        </is>
      </c>
      <c r="T7" s="53" t="inlineStr">
        <is>
          <t>Pallet 1</t>
        </is>
      </c>
      <c r="U7" s="53" t="inlineStr">
        <is>
          <t>Pallet 2</t>
        </is>
      </c>
      <c r="V7" s="53" t="inlineStr">
        <is>
          <t>Pallet 1</t>
        </is>
      </c>
      <c r="W7" s="53" t="inlineStr">
        <is>
          <t>Pallet 2</t>
        </is>
      </c>
      <c r="X7" s="53" t="inlineStr">
        <is>
          <t>Pallet 1</t>
        </is>
      </c>
      <c r="Y7" s="53" t="inlineStr">
        <is>
          <t>Pallet 2</t>
        </is>
      </c>
      <c r="Z7" s="53" t="inlineStr">
        <is>
          <t>Pallet 1</t>
        </is>
      </c>
      <c r="AA7" s="53" t="inlineStr">
        <is>
          <t>Pallet 2</t>
        </is>
      </c>
      <c r="AB7" s="53" t="inlineStr">
        <is>
          <t>Pallet 1</t>
        </is>
      </c>
      <c r="AC7" s="53" t="inlineStr">
        <is>
          <t>Pallet 2</t>
        </is>
      </c>
      <c r="AD7" s="53" t="inlineStr">
        <is>
          <t>Pallet 1</t>
        </is>
      </c>
      <c r="AE7" s="53" t="inlineStr">
        <is>
          <t>Pallet 2</t>
        </is>
      </c>
      <c r="AF7" s="53" t="inlineStr">
        <is>
          <t>Pallet 1</t>
        </is>
      </c>
      <c r="AG7" s="53" t="inlineStr">
        <is>
          <t>Pallet 2</t>
        </is>
      </c>
    </row>
    <row r="8" ht="48" customHeight="1">
      <c r="A8" s="54" t="inlineStr">
        <is>
          <t>Level A
(~0–6ft)</t>
        </is>
      </c>
      <c r="B8" s="55" t="inlineStr">
        <is>
          <t>[TAR]
62632
Target GG Org Sugar,</t>
        </is>
      </c>
      <c r="C8" s="55" t="inlineStr">
        <is>
          <t>[TAR]
62632
Target GG Org Sugar,</t>
        </is>
      </c>
      <c r="D8" s="56" t="inlineStr">
        <is>
          <t>—</t>
        </is>
      </c>
      <c r="E8" s="56" t="inlineStr">
        <is>
          <t>—</t>
        </is>
      </c>
      <c r="F8" s="55" t="inlineStr">
        <is>
          <t xml:space="preserve">[TAR]
62641
Target GG Org Light </t>
        </is>
      </c>
      <c r="G8" s="55" t="inlineStr">
        <is>
          <t xml:space="preserve">[TAR]
62641
Target GG Org Light </t>
        </is>
      </c>
      <c r="H8" s="55" t="inlineStr">
        <is>
          <t>[TAR]
62004
Target GG Org Powder</t>
        </is>
      </c>
      <c r="I8" s="55" t="inlineStr">
        <is>
          <t>[TAR]
62004
Target GG Org Powder</t>
        </is>
      </c>
      <c r="J8" s="57" t="inlineStr">
        <is>
          <t>[AMA]
95612
WS Allulose Liquid S</t>
        </is>
      </c>
      <c r="K8" s="57" t="inlineStr">
        <is>
          <t>[AMA]
95612
WS Allulose Liquid S</t>
        </is>
      </c>
      <c r="L8" s="57" t="inlineStr">
        <is>
          <t>[AMA]
45022
WS FT Org Molasses 1</t>
        </is>
      </c>
      <c r="M8" s="57" t="inlineStr">
        <is>
          <t>[AMA]
45022
WS FT Org Molasses 1</t>
        </is>
      </c>
      <c r="N8" s="57" t="inlineStr">
        <is>
          <t xml:space="preserve">[AMA]
32004
WSI Organic ECJ PWD </t>
        </is>
      </c>
      <c r="O8" s="57" t="inlineStr">
        <is>
          <t xml:space="preserve">[AMA]
32004
WSI Organic ECJ PWD </t>
        </is>
      </c>
      <c r="P8" s="56" t="inlineStr">
        <is>
          <t>—</t>
        </is>
      </c>
      <c r="Q8" s="56" t="inlineStr">
        <is>
          <t>—</t>
        </is>
      </c>
      <c r="R8" s="56" t="inlineStr">
        <is>
          <t>—</t>
        </is>
      </c>
      <c r="S8" s="56" t="inlineStr">
        <is>
          <t>—</t>
        </is>
      </c>
      <c r="T8" s="56" t="inlineStr">
        <is>
          <t>—</t>
        </is>
      </c>
      <c r="U8" s="56" t="inlineStr">
        <is>
          <t>—</t>
        </is>
      </c>
      <c r="V8" s="56" t="inlineStr">
        <is>
          <t>—</t>
        </is>
      </c>
      <c r="W8" s="56" t="inlineStr">
        <is>
          <t>—</t>
        </is>
      </c>
      <c r="X8" s="56" t="inlineStr">
        <is>
          <t>—</t>
        </is>
      </c>
      <c r="Y8" s="56" t="inlineStr">
        <is>
          <t>—</t>
        </is>
      </c>
      <c r="Z8" s="56" t="inlineStr">
        <is>
          <t>—</t>
        </is>
      </c>
      <c r="AA8" s="56" t="inlineStr">
        <is>
          <t>—</t>
        </is>
      </c>
      <c r="AB8" s="56" t="inlineStr">
        <is>
          <t>—</t>
        </is>
      </c>
      <c r="AC8" s="56" t="inlineStr">
        <is>
          <t>—</t>
        </is>
      </c>
      <c r="AD8" s="56" t="inlineStr">
        <is>
          <t>—</t>
        </is>
      </c>
      <c r="AE8" s="56" t="inlineStr">
        <is>
          <t>—</t>
        </is>
      </c>
      <c r="AF8" s="56" t="inlineStr">
        <is>
          <t>—</t>
        </is>
      </c>
      <c r="AG8" s="56" t="inlineStr">
        <is>
          <t>—</t>
        </is>
      </c>
    </row>
    <row r="9" ht="48" customHeight="1">
      <c r="A9" s="58" t="inlineStr">
        <is>
          <t>Level B
(~6–12ft)</t>
        </is>
      </c>
      <c r="B9" s="55" t="inlineStr">
        <is>
          <t>[TAR]
62632
Target GG Org Sugar,</t>
        </is>
      </c>
      <c r="C9" s="55" t="inlineStr">
        <is>
          <t>[TAR]
62632
Target GG Org Sugar,</t>
        </is>
      </c>
      <c r="D9" s="56" t="inlineStr">
        <is>
          <t>—</t>
        </is>
      </c>
      <c r="E9" s="56" t="inlineStr">
        <is>
          <t>—</t>
        </is>
      </c>
      <c r="F9" s="55" t="inlineStr">
        <is>
          <t xml:space="preserve">[TAR]
62641
Target GG Org Light </t>
        </is>
      </c>
      <c r="G9" s="55" t="inlineStr">
        <is>
          <t xml:space="preserve">[TAR]
62641
Target GG Org Light </t>
        </is>
      </c>
      <c r="H9" s="55" t="inlineStr">
        <is>
          <t>[TAR]
62004
Target GG Org Powder</t>
        </is>
      </c>
      <c r="I9" s="55" t="inlineStr">
        <is>
          <t>[TAR]
62004
Target GG Org Powder</t>
        </is>
      </c>
      <c r="J9" s="56" t="inlineStr">
        <is>
          <t>—</t>
        </is>
      </c>
      <c r="K9" s="56" t="inlineStr">
        <is>
          <t>—</t>
        </is>
      </c>
      <c r="L9" s="56" t="inlineStr">
        <is>
          <t>—</t>
        </is>
      </c>
      <c r="M9" s="56" t="inlineStr">
        <is>
          <t>—</t>
        </is>
      </c>
      <c r="N9" s="56" t="inlineStr">
        <is>
          <t>—</t>
        </is>
      </c>
      <c r="O9" s="56" t="inlineStr">
        <is>
          <t>—</t>
        </is>
      </c>
      <c r="P9" s="56" t="inlineStr">
        <is>
          <t>—</t>
        </is>
      </c>
      <c r="Q9" s="56" t="inlineStr">
        <is>
          <t>—</t>
        </is>
      </c>
      <c r="R9" s="56" t="inlineStr">
        <is>
          <t>—</t>
        </is>
      </c>
      <c r="S9" s="56" t="inlineStr">
        <is>
          <t>—</t>
        </is>
      </c>
      <c r="T9" s="56" t="inlineStr">
        <is>
          <t>—</t>
        </is>
      </c>
      <c r="U9" s="56" t="inlineStr">
        <is>
          <t>—</t>
        </is>
      </c>
      <c r="V9" s="55" t="inlineStr">
        <is>
          <t>[TAR]
62106
Target GG Org. Cocon</t>
        </is>
      </c>
      <c r="W9" s="55" t="inlineStr">
        <is>
          <t>[TAR]
62106
Target GG Org. Cocon</t>
        </is>
      </c>
      <c r="X9" s="55" t="inlineStr">
        <is>
          <t xml:space="preserve">[TAR]
62231
Target GG Org Light </t>
        </is>
      </c>
      <c r="Y9" s="55" t="inlineStr">
        <is>
          <t xml:space="preserve">[TAR]
62231
Target GG Org Light </t>
        </is>
      </c>
      <c r="Z9" s="55" t="inlineStr">
        <is>
          <t>[TAR]
62432
Target GG Org Sugar,</t>
        </is>
      </c>
      <c r="AA9" s="55" t="inlineStr">
        <is>
          <t>[TAR]
62432
Target GG Org Sugar,</t>
        </is>
      </c>
      <c r="AB9" s="55" t="inlineStr">
        <is>
          <t>[TAR]
62232
Target GG Org. Raw A</t>
        </is>
      </c>
      <c r="AC9" s="55" t="inlineStr">
        <is>
          <t>[TAR]
62232
Target GG Org. Raw A</t>
        </is>
      </c>
      <c r="AD9" s="56" t="inlineStr">
        <is>
          <t>—</t>
        </is>
      </c>
      <c r="AE9" s="56" t="inlineStr">
        <is>
          <t>—</t>
        </is>
      </c>
      <c r="AF9" s="56" t="inlineStr">
        <is>
          <t>—</t>
        </is>
      </c>
      <c r="AG9" s="56" t="inlineStr">
        <is>
          <t>—</t>
        </is>
      </c>
    </row>
    <row r="10" ht="48" customHeight="1">
      <c r="A10" s="59" t="inlineStr">
        <is>
          <t>Level C
(~12–18ft)</t>
        </is>
      </c>
      <c r="B10" s="56" t="inlineStr">
        <is>
          <t>—</t>
        </is>
      </c>
      <c r="C10" s="56" t="inlineStr">
        <is>
          <t>—</t>
        </is>
      </c>
      <c r="D10" s="56" t="inlineStr">
        <is>
          <t>—</t>
        </is>
      </c>
      <c r="E10" s="56" t="inlineStr">
        <is>
          <t>—</t>
        </is>
      </c>
      <c r="F10" s="56" t="inlineStr">
        <is>
          <t>—</t>
        </is>
      </c>
      <c r="G10" s="56" t="inlineStr">
        <is>
          <t>—</t>
        </is>
      </c>
      <c r="H10" s="56" t="inlineStr">
        <is>
          <t>—</t>
        </is>
      </c>
      <c r="I10" s="56" t="inlineStr">
        <is>
          <t>—</t>
        </is>
      </c>
      <c r="J10" s="56" t="inlineStr">
        <is>
          <t>—</t>
        </is>
      </c>
      <c r="K10" s="56" t="inlineStr">
        <is>
          <t>—</t>
        </is>
      </c>
      <c r="L10" s="56" t="inlineStr">
        <is>
          <t>—</t>
        </is>
      </c>
      <c r="M10" s="56" t="inlineStr">
        <is>
          <t>—</t>
        </is>
      </c>
      <c r="N10" s="56" t="inlineStr">
        <is>
          <t>—</t>
        </is>
      </c>
      <c r="O10" s="56" t="inlineStr">
        <is>
          <t>—</t>
        </is>
      </c>
      <c r="P10" s="56" t="inlineStr">
        <is>
          <t>—</t>
        </is>
      </c>
      <c r="Q10" s="56" t="inlineStr">
        <is>
          <t>—</t>
        </is>
      </c>
      <c r="R10" s="56" t="inlineStr">
        <is>
          <t>—</t>
        </is>
      </c>
      <c r="S10" s="56" t="inlineStr">
        <is>
          <t>—</t>
        </is>
      </c>
      <c r="T10" s="56" t="inlineStr">
        <is>
          <t>—</t>
        </is>
      </c>
      <c r="U10" s="56" t="inlineStr">
        <is>
          <t>—</t>
        </is>
      </c>
      <c r="V10" s="56" t="inlineStr">
        <is>
          <t>—</t>
        </is>
      </c>
      <c r="W10" s="56" t="inlineStr">
        <is>
          <t>—</t>
        </is>
      </c>
      <c r="X10" s="56" t="inlineStr">
        <is>
          <t>—</t>
        </is>
      </c>
      <c r="Y10" s="56" t="inlineStr">
        <is>
          <t>—</t>
        </is>
      </c>
      <c r="Z10" s="56" t="inlineStr">
        <is>
          <t>—</t>
        </is>
      </c>
      <c r="AA10" s="56" t="inlineStr">
        <is>
          <t>—</t>
        </is>
      </c>
      <c r="AB10" s="56" t="inlineStr">
        <is>
          <t>—</t>
        </is>
      </c>
      <c r="AC10" s="56" t="inlineStr">
        <is>
          <t>—</t>
        </is>
      </c>
      <c r="AD10" s="56" t="inlineStr">
        <is>
          <t>—</t>
        </is>
      </c>
      <c r="AE10" s="56" t="inlineStr">
        <is>
          <t>—</t>
        </is>
      </c>
      <c r="AF10" s="56" t="inlineStr">
        <is>
          <t>—</t>
        </is>
      </c>
      <c r="AG10" s="56" t="inlineStr">
        <is>
          <t>—</t>
        </is>
      </c>
    </row>
    <row r="11" ht="48" customHeight="1">
      <c r="A11" s="60" t="inlineStr">
        <is>
          <t>Level D
(~18–24ft)</t>
        </is>
      </c>
      <c r="B11" s="56" t="inlineStr">
        <is>
          <t>—</t>
        </is>
      </c>
      <c r="C11" s="56" t="inlineStr">
        <is>
          <t>—</t>
        </is>
      </c>
      <c r="D11" s="56" t="inlineStr">
        <is>
          <t>—</t>
        </is>
      </c>
      <c r="E11" s="56" t="inlineStr">
        <is>
          <t>—</t>
        </is>
      </c>
      <c r="F11" s="56" t="inlineStr">
        <is>
          <t>—</t>
        </is>
      </c>
      <c r="G11" s="56" t="inlineStr">
        <is>
          <t>—</t>
        </is>
      </c>
      <c r="H11" s="56" t="inlineStr">
        <is>
          <t>—</t>
        </is>
      </c>
      <c r="I11" s="56" t="inlineStr">
        <is>
          <t>—</t>
        </is>
      </c>
      <c r="J11" s="56" t="inlineStr">
        <is>
          <t>—</t>
        </is>
      </c>
      <c r="K11" s="56" t="inlineStr">
        <is>
          <t>—</t>
        </is>
      </c>
      <c r="L11" s="56" t="inlineStr">
        <is>
          <t>—</t>
        </is>
      </c>
      <c r="M11" s="56" t="inlineStr">
        <is>
          <t>—</t>
        </is>
      </c>
      <c r="N11" s="56" t="inlineStr">
        <is>
          <t>—</t>
        </is>
      </c>
      <c r="O11" s="56" t="inlineStr">
        <is>
          <t>—</t>
        </is>
      </c>
      <c r="P11" s="56" t="inlineStr">
        <is>
          <t>—</t>
        </is>
      </c>
      <c r="Q11" s="56" t="inlineStr">
        <is>
          <t>—</t>
        </is>
      </c>
      <c r="R11" s="56" t="inlineStr">
        <is>
          <t>—</t>
        </is>
      </c>
      <c r="S11" s="56" t="inlineStr">
        <is>
          <t>—</t>
        </is>
      </c>
      <c r="T11" s="56" t="inlineStr">
        <is>
          <t>—</t>
        </is>
      </c>
      <c r="U11" s="56" t="inlineStr">
        <is>
          <t>—</t>
        </is>
      </c>
      <c r="V11" s="56" t="inlineStr">
        <is>
          <t>—</t>
        </is>
      </c>
      <c r="W11" s="56" t="inlineStr">
        <is>
          <t>—</t>
        </is>
      </c>
      <c r="X11" s="56" t="inlineStr">
        <is>
          <t>—</t>
        </is>
      </c>
      <c r="Y11" s="56" t="inlineStr">
        <is>
          <t>—</t>
        </is>
      </c>
      <c r="Z11" s="56" t="inlineStr">
        <is>
          <t>—</t>
        </is>
      </c>
      <c r="AA11" s="56" t="inlineStr">
        <is>
          <t>—</t>
        </is>
      </c>
      <c r="AB11" s="56" t="inlineStr">
        <is>
          <t>—</t>
        </is>
      </c>
      <c r="AC11" s="56" t="inlineStr">
        <is>
          <t>—</t>
        </is>
      </c>
      <c r="AD11" s="56" t="inlineStr">
        <is>
          <t>—</t>
        </is>
      </c>
      <c r="AE11" s="56" t="inlineStr">
        <is>
          <t>—</t>
        </is>
      </c>
      <c r="AF11" s="56" t="inlineStr">
        <is>
          <t>—</t>
        </is>
      </c>
      <c r="AG11" s="56" t="inlineStr">
        <is>
          <t>—</t>
        </is>
      </c>
    </row>
    <row r="12" ht="6" customHeight="1"/>
    <row r="13" ht="19.5" customHeight="1">
      <c r="A13" s="227" t="inlineStr">
        <is>
          <t>RACK 30 TOTALS  |  128 total pallet spaces  |  16 odd columns  |  Target occupies ~24 spaces (A+B levels)  |  Amazon occupies ~24 spaces  |  Available: ~80 spaces (C &amp; D levels + unassigned)</t>
        </is>
      </c>
    </row>
  </sheetData>
  <mergeCells count="23">
    <mergeCell ref="Z6:AA6"/>
    <mergeCell ref="AB6:AC6"/>
    <mergeCell ref="A4:D4"/>
    <mergeCell ref="I4:L4"/>
    <mergeCell ref="F6:G6"/>
    <mergeCell ref="D6:E6"/>
    <mergeCell ref="H6:I6"/>
    <mergeCell ref="M4:P4"/>
    <mergeCell ref="J6:K6"/>
    <mergeCell ref="P6:Q6"/>
    <mergeCell ref="R6:S6"/>
    <mergeCell ref="A1:AI1"/>
    <mergeCell ref="AD6:AE6"/>
    <mergeCell ref="A13:AE13"/>
    <mergeCell ref="AF6:AG6"/>
    <mergeCell ref="V6:W6"/>
    <mergeCell ref="X6:Y6"/>
    <mergeCell ref="E4:H4"/>
    <mergeCell ref="B6:C6"/>
    <mergeCell ref="A2:AI2"/>
    <mergeCell ref="L6:M6"/>
    <mergeCell ref="N6:O6"/>
    <mergeCell ref="T6:U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"/>
  <sheetViews>
    <sheetView showGridLines="0" zoomScaleNormal="100" workbookViewId="0">
      <selection activeCell="P31" sqref="P31"/>
    </sheetView>
  </sheetViews>
  <sheetFormatPr baseColWidth="8" defaultColWidth="8.42578125" defaultRowHeight="14.45"/>
  <cols>
    <col width="9" customWidth="1" min="1" max="1"/>
    <col width="12" customWidth="1" min="2" max="33"/>
  </cols>
  <sheetData>
    <row r="1" ht="33.75" customHeight="1">
      <c r="A1" s="221" t="inlineStr">
        <is>
          <t>RACK 31 Visual Cell Map  |  16 Columns (1–16, Odd &amp; Even)  |  4 Levels (A–D)  |  2 Pallets/Cell  =  128 Total Spaces</t>
        </is>
      </c>
    </row>
    <row r="2" ht="15.75" customHeight="1">
      <c r="A2" s="222" t="inlineStr">
        <is>
          <t>Level A (ground, ~0-6ft) &amp; Level B (~6-12ft) = PRIME forklift access — assigned to highest-velocity SKUs first</t>
        </is>
      </c>
    </row>
    <row r="3" ht="3.75" customHeight="1"/>
    <row r="4" ht="18" customHeight="1">
      <c r="A4" s="223" t="inlineStr">
        <is>
          <t xml:space="preserve">  Level A — PRIME (ground, easiest forklift access)</t>
        </is>
      </c>
      <c r="B4" s="284" t="n"/>
      <c r="C4" s="284" t="n"/>
      <c r="D4" s="285" t="n"/>
      <c r="E4" s="224" t="inlineStr">
        <is>
          <t xml:space="preserve">  Level B — HIGH (second level, fast access)</t>
        </is>
      </c>
      <c r="F4" s="284" t="n"/>
      <c r="G4" s="284" t="n"/>
      <c r="H4" s="285" t="n"/>
      <c r="I4" s="225" t="inlineStr">
        <is>
          <t xml:space="preserve">  Level C — MEDIUM (~12 ft, moderate reach)</t>
        </is>
      </c>
      <c r="J4" s="284" t="n"/>
      <c r="K4" s="284" t="n"/>
      <c r="L4" s="285" t="n"/>
      <c r="M4" s="226" t="inlineStr">
        <is>
          <t xml:space="preserve">  Level D — UPPER (~18 ft, slowest access)</t>
        </is>
      </c>
      <c r="N4" s="284" t="n"/>
      <c r="O4" s="284" t="n"/>
      <c r="P4" s="285" t="n"/>
    </row>
    <row r="5" ht="6" customHeight="1"/>
    <row r="6" ht="19.5" customHeight="1">
      <c r="A6" s="51" t="inlineStr">
        <is>
          <t>LEVEL</t>
        </is>
      </c>
      <c r="B6" s="220" t="inlineStr">
        <is>
          <t>Col 1</t>
        </is>
      </c>
      <c r="C6" s="284" t="n"/>
      <c r="D6" s="228" t="inlineStr">
        <is>
          <t>Col 2</t>
        </is>
      </c>
      <c r="E6" s="284" t="n"/>
      <c r="F6" s="220" t="inlineStr">
        <is>
          <t>Col 3</t>
        </is>
      </c>
      <c r="G6" s="284" t="n"/>
      <c r="H6" s="228" t="inlineStr">
        <is>
          <t>Col 4</t>
        </is>
      </c>
      <c r="I6" s="284" t="n"/>
      <c r="J6" s="220" t="inlineStr">
        <is>
          <t>Col 5</t>
        </is>
      </c>
      <c r="K6" s="284" t="n"/>
      <c r="L6" s="228" t="inlineStr">
        <is>
          <t>Col 6</t>
        </is>
      </c>
      <c r="M6" s="284" t="n"/>
      <c r="N6" s="220" t="inlineStr">
        <is>
          <t>Col 7</t>
        </is>
      </c>
      <c r="O6" s="284" t="n"/>
      <c r="P6" s="228" t="inlineStr">
        <is>
          <t>Col 8</t>
        </is>
      </c>
      <c r="Q6" s="284" t="n"/>
      <c r="R6" s="220" t="inlineStr">
        <is>
          <t>Col 9</t>
        </is>
      </c>
      <c r="S6" s="284" t="n"/>
      <c r="T6" s="228" t="inlineStr">
        <is>
          <t>Col 10</t>
        </is>
      </c>
      <c r="U6" s="284" t="n"/>
      <c r="V6" s="220" t="inlineStr">
        <is>
          <t>Col 11</t>
        </is>
      </c>
      <c r="W6" s="284" t="n"/>
      <c r="X6" s="228" t="inlineStr">
        <is>
          <t>Col 12</t>
        </is>
      </c>
      <c r="Y6" s="284" t="n"/>
      <c r="Z6" s="220" t="inlineStr">
        <is>
          <t>Col 13</t>
        </is>
      </c>
      <c r="AA6" s="284" t="n"/>
      <c r="AB6" s="228" t="inlineStr">
        <is>
          <t>Col 14</t>
        </is>
      </c>
      <c r="AC6" s="284" t="n"/>
      <c r="AD6" s="220" t="inlineStr">
        <is>
          <t>Col 15</t>
        </is>
      </c>
      <c r="AE6" s="284" t="n"/>
      <c r="AF6" s="228" t="inlineStr">
        <is>
          <t>Col 16</t>
        </is>
      </c>
      <c r="AG6" s="284" t="n"/>
    </row>
    <row r="7" ht="15.75" customHeight="1">
      <c r="A7" s="52" t="n"/>
      <c r="B7" s="53" t="inlineStr">
        <is>
          <t>Pallet 1</t>
        </is>
      </c>
      <c r="C7" s="53" t="inlineStr">
        <is>
          <t>Pallet 2</t>
        </is>
      </c>
      <c r="D7" s="53" t="inlineStr">
        <is>
          <t>Pallet 1</t>
        </is>
      </c>
      <c r="E7" s="53" t="inlineStr">
        <is>
          <t>Pallet 2</t>
        </is>
      </c>
      <c r="F7" s="53" t="inlineStr">
        <is>
          <t>Pallet 1</t>
        </is>
      </c>
      <c r="G7" s="53" t="inlineStr">
        <is>
          <t>Pallet 2</t>
        </is>
      </c>
      <c r="H7" s="53" t="inlineStr">
        <is>
          <t>Pallet 1</t>
        </is>
      </c>
      <c r="I7" s="53" t="inlineStr">
        <is>
          <t>Pallet 2</t>
        </is>
      </c>
      <c r="J7" s="53" t="inlineStr">
        <is>
          <t>Pallet 1</t>
        </is>
      </c>
      <c r="K7" s="53" t="inlineStr">
        <is>
          <t>Pallet 2</t>
        </is>
      </c>
      <c r="L7" s="53" t="inlineStr">
        <is>
          <t>Pallet 1</t>
        </is>
      </c>
      <c r="M7" s="53" t="inlineStr">
        <is>
          <t>Pallet 2</t>
        </is>
      </c>
      <c r="N7" s="53" t="inlineStr">
        <is>
          <t>Pallet 1</t>
        </is>
      </c>
      <c r="O7" s="53" t="inlineStr">
        <is>
          <t>Pallet 2</t>
        </is>
      </c>
      <c r="P7" s="53" t="inlineStr">
        <is>
          <t>Pallet 1</t>
        </is>
      </c>
      <c r="Q7" s="53" t="inlineStr">
        <is>
          <t>Pallet 2</t>
        </is>
      </c>
      <c r="R7" s="53" t="inlineStr">
        <is>
          <t>Pallet 1</t>
        </is>
      </c>
      <c r="S7" s="53" t="inlineStr">
        <is>
          <t>Pallet 2</t>
        </is>
      </c>
      <c r="T7" s="53" t="inlineStr">
        <is>
          <t>Pallet 1</t>
        </is>
      </c>
      <c r="U7" s="53" t="inlineStr">
        <is>
          <t>Pallet 2</t>
        </is>
      </c>
      <c r="V7" s="53" t="inlineStr">
        <is>
          <t>Pallet 1</t>
        </is>
      </c>
      <c r="W7" s="53" t="inlineStr">
        <is>
          <t>Pallet 2</t>
        </is>
      </c>
      <c r="X7" s="53" t="inlineStr">
        <is>
          <t>Pallet 1</t>
        </is>
      </c>
      <c r="Y7" s="53" t="inlineStr">
        <is>
          <t>Pallet 2</t>
        </is>
      </c>
      <c r="Z7" s="53" t="inlineStr">
        <is>
          <t>Pallet 1</t>
        </is>
      </c>
      <c r="AA7" s="53" t="inlineStr">
        <is>
          <t>Pallet 2</t>
        </is>
      </c>
      <c r="AB7" s="53" t="inlineStr">
        <is>
          <t>Pallet 1</t>
        </is>
      </c>
      <c r="AC7" s="53" t="inlineStr">
        <is>
          <t>Pallet 2</t>
        </is>
      </c>
      <c r="AD7" s="53" t="inlineStr">
        <is>
          <t>Pallet 1</t>
        </is>
      </c>
      <c r="AE7" s="53" t="inlineStr">
        <is>
          <t>Pallet 2</t>
        </is>
      </c>
      <c r="AF7" s="53" t="inlineStr">
        <is>
          <t>Pallet 1</t>
        </is>
      </c>
      <c r="AG7" s="53" t="inlineStr">
        <is>
          <t>Pallet 2</t>
        </is>
      </c>
    </row>
    <row r="8" ht="48" customHeight="1">
      <c r="A8" s="54" t="inlineStr">
        <is>
          <t>Level A
(~0–6ft)</t>
        </is>
      </c>
      <c r="B8" s="55" t="inlineStr">
        <is>
          <t>[TAR]
62106
Target GG Org. Cocon</t>
        </is>
      </c>
      <c r="C8" s="55" t="inlineStr">
        <is>
          <t>[TAR]
62106
Target GG Org. Cocon</t>
        </is>
      </c>
      <c r="D8" s="55" t="inlineStr">
        <is>
          <t xml:space="preserve">[TAR]
62231
Target GG Org Light </t>
        </is>
      </c>
      <c r="E8" s="55" t="inlineStr">
        <is>
          <t xml:space="preserve">[TAR]
62231
Target GG Org Light </t>
        </is>
      </c>
      <c r="F8" s="55" t="inlineStr">
        <is>
          <t>[TAR]
62432
Target GG Org Sugar,</t>
        </is>
      </c>
      <c r="G8" s="55" t="inlineStr">
        <is>
          <t>[TAR]
62432
Target GG Org Sugar,</t>
        </is>
      </c>
      <c r="H8" s="57" t="inlineStr">
        <is>
          <t>[AMA]
95812
W Allulose, 8ct-12 o</t>
        </is>
      </c>
      <c r="I8" s="57" t="inlineStr">
        <is>
          <t>[AMA]
95812
W Allulose, 8ct-12 o</t>
        </is>
      </c>
      <c r="J8" s="57" t="inlineStr">
        <is>
          <t>[AMA]
46410
WS FT Org Sugar 4-10</t>
        </is>
      </c>
      <c r="K8" s="57" t="inlineStr">
        <is>
          <t>[AMA]
46410
WS FT Org Sugar 4-10</t>
        </is>
      </c>
      <c r="L8" s="57" t="inlineStr">
        <is>
          <t>[AMA]
45021
WS FT Org Molasses 1</t>
        </is>
      </c>
      <c r="M8" s="57" t="inlineStr">
        <is>
          <t>[AMA]
45021
WS FT Org Molasses 1</t>
        </is>
      </c>
      <c r="N8" s="57" t="inlineStr">
        <is>
          <t xml:space="preserve">[AMA]
44652
WSI FT Organic Dark </t>
        </is>
      </c>
      <c r="O8" s="57" t="inlineStr">
        <is>
          <t xml:space="preserve">[AMA]
44652
WSI FT Organic Dark </t>
        </is>
      </c>
      <c r="P8" s="56" t="inlineStr">
        <is>
          <t>—</t>
        </is>
      </c>
      <c r="Q8" s="56" t="inlineStr">
        <is>
          <t>—</t>
        </is>
      </c>
      <c r="R8" s="56" t="inlineStr">
        <is>
          <t>—</t>
        </is>
      </c>
      <c r="S8" s="56" t="inlineStr">
        <is>
          <t>—</t>
        </is>
      </c>
      <c r="T8" s="56" t="inlineStr">
        <is>
          <t>—</t>
        </is>
      </c>
      <c r="U8" s="56" t="inlineStr">
        <is>
          <t>—</t>
        </is>
      </c>
      <c r="V8" s="56" t="inlineStr">
        <is>
          <t>—</t>
        </is>
      </c>
      <c r="W8" s="56" t="inlineStr">
        <is>
          <t>—</t>
        </is>
      </c>
      <c r="X8" s="56" t="inlineStr">
        <is>
          <t>—</t>
        </is>
      </c>
      <c r="Y8" s="56" t="inlineStr">
        <is>
          <t>—</t>
        </is>
      </c>
      <c r="Z8" s="56" t="inlineStr">
        <is>
          <t>—</t>
        </is>
      </c>
      <c r="AA8" s="56" t="inlineStr">
        <is>
          <t>—</t>
        </is>
      </c>
      <c r="AB8" s="56" t="inlineStr">
        <is>
          <t>—</t>
        </is>
      </c>
      <c r="AC8" s="56" t="inlineStr">
        <is>
          <t>—</t>
        </is>
      </c>
      <c r="AD8" s="56" t="inlineStr">
        <is>
          <t>—</t>
        </is>
      </c>
      <c r="AE8" s="56" t="inlineStr">
        <is>
          <t>—</t>
        </is>
      </c>
      <c r="AF8" s="56" t="inlineStr">
        <is>
          <t>—</t>
        </is>
      </c>
      <c r="AG8" s="56" t="inlineStr">
        <is>
          <t>—</t>
        </is>
      </c>
    </row>
    <row r="9" ht="48" customHeight="1">
      <c r="A9" s="58" t="inlineStr">
        <is>
          <t>Level B
(~6–12ft)</t>
        </is>
      </c>
      <c r="B9" s="56" t="inlineStr">
        <is>
          <t>—</t>
        </is>
      </c>
      <c r="C9" s="56" t="inlineStr">
        <is>
          <t>—</t>
        </is>
      </c>
      <c r="D9" s="56" t="inlineStr">
        <is>
          <t>—</t>
        </is>
      </c>
      <c r="E9" s="56" t="inlineStr">
        <is>
          <t>—</t>
        </is>
      </c>
      <c r="F9" s="56" t="inlineStr">
        <is>
          <t>—</t>
        </is>
      </c>
      <c r="G9" s="56" t="inlineStr">
        <is>
          <t>—</t>
        </is>
      </c>
      <c r="H9" s="56" t="inlineStr">
        <is>
          <t>—</t>
        </is>
      </c>
      <c r="I9" s="56" t="inlineStr">
        <is>
          <t>—</t>
        </is>
      </c>
      <c r="J9" s="56" t="inlineStr">
        <is>
          <t>—</t>
        </is>
      </c>
      <c r="K9" s="56" t="inlineStr">
        <is>
          <t>—</t>
        </is>
      </c>
      <c r="L9" s="56" t="inlineStr">
        <is>
          <t>—</t>
        </is>
      </c>
      <c r="M9" s="56" t="inlineStr">
        <is>
          <t>—</t>
        </is>
      </c>
      <c r="N9" s="57" t="inlineStr">
        <is>
          <t>[AMA]
94675
WS Org Stevia 6ct 75</t>
        </is>
      </c>
      <c r="O9" s="57" t="inlineStr">
        <is>
          <t>[AMA]
94675
WS Org Stevia 6ct 75</t>
        </is>
      </c>
      <c r="P9" s="57" t="inlineStr">
        <is>
          <t xml:space="preserve">[AMA]
92106
WS Org Coconut Palm </t>
        </is>
      </c>
      <c r="Q9" s="57" t="inlineStr">
        <is>
          <t xml:space="preserve">[AMA]
92106
WS Org Coconut Palm </t>
        </is>
      </c>
      <c r="R9" s="57" t="inlineStr">
        <is>
          <t>[AMA]
20441
Organic Blue Agave 6</t>
        </is>
      </c>
      <c r="S9" s="57" t="inlineStr">
        <is>
          <t>[AMA]
20441
Organic Blue Agave 6</t>
        </is>
      </c>
      <c r="T9" s="57" t="inlineStr">
        <is>
          <t>[AMA]
45026
WSI FT Organic Sucan</t>
        </is>
      </c>
      <c r="U9" s="57" t="inlineStr">
        <is>
          <t>[AMA]
45026
WSI FT Organic Sucan</t>
        </is>
      </c>
      <c r="V9" s="57" t="inlineStr">
        <is>
          <t>[AMA]
32134
BLTN Nat Lt Brown Mu</t>
        </is>
      </c>
      <c r="W9" s="57" t="inlineStr">
        <is>
          <t>[AMA]
32134
BLTN Nat Lt Brown Mu</t>
        </is>
      </c>
      <c r="X9" s="56" t="inlineStr">
        <is>
          <t>—</t>
        </is>
      </c>
      <c r="Y9" s="56" t="inlineStr">
        <is>
          <t>—</t>
        </is>
      </c>
      <c r="Z9" s="56" t="inlineStr">
        <is>
          <t>—</t>
        </is>
      </c>
      <c r="AA9" s="56" t="inlineStr">
        <is>
          <t>—</t>
        </is>
      </c>
      <c r="AB9" s="56" t="inlineStr">
        <is>
          <t>—</t>
        </is>
      </c>
      <c r="AC9" s="56" t="inlineStr">
        <is>
          <t>—</t>
        </is>
      </c>
      <c r="AD9" s="56" t="inlineStr">
        <is>
          <t>—</t>
        </is>
      </c>
      <c r="AE9" s="56" t="inlineStr">
        <is>
          <t>—</t>
        </is>
      </c>
      <c r="AF9" s="56" t="inlineStr">
        <is>
          <t>—</t>
        </is>
      </c>
      <c r="AG9" s="56" t="inlineStr">
        <is>
          <t>—</t>
        </is>
      </c>
    </row>
    <row r="10" ht="48" customHeight="1">
      <c r="A10" s="59" t="inlineStr">
        <is>
          <t>Level C
(~12–18ft)</t>
        </is>
      </c>
      <c r="B10" s="56" t="inlineStr">
        <is>
          <t>—</t>
        </is>
      </c>
      <c r="C10" s="56" t="inlineStr">
        <is>
          <t>—</t>
        </is>
      </c>
      <c r="D10" s="56" t="inlineStr">
        <is>
          <t>—</t>
        </is>
      </c>
      <c r="E10" s="56" t="inlineStr">
        <is>
          <t>—</t>
        </is>
      </c>
      <c r="F10" s="56" t="inlineStr">
        <is>
          <t>—</t>
        </is>
      </c>
      <c r="G10" s="56" t="inlineStr">
        <is>
          <t>—</t>
        </is>
      </c>
      <c r="H10" s="56" t="inlineStr">
        <is>
          <t>—</t>
        </is>
      </c>
      <c r="I10" s="56" t="inlineStr">
        <is>
          <t>—</t>
        </is>
      </c>
      <c r="J10" s="56" t="inlineStr">
        <is>
          <t>—</t>
        </is>
      </c>
      <c r="K10" s="56" t="inlineStr">
        <is>
          <t>—</t>
        </is>
      </c>
      <c r="L10" s="56" t="inlineStr">
        <is>
          <t>—</t>
        </is>
      </c>
      <c r="M10" s="56" t="inlineStr">
        <is>
          <t>—</t>
        </is>
      </c>
      <c r="N10" s="56" t="inlineStr">
        <is>
          <t>—</t>
        </is>
      </c>
      <c r="O10" s="56" t="inlineStr">
        <is>
          <t>—</t>
        </is>
      </c>
      <c r="P10" s="56" t="inlineStr">
        <is>
          <t>—</t>
        </is>
      </c>
      <c r="Q10" s="56" t="inlineStr">
        <is>
          <t>—</t>
        </is>
      </c>
      <c r="R10" s="56" t="inlineStr">
        <is>
          <t>—</t>
        </is>
      </c>
      <c r="S10" s="56" t="inlineStr">
        <is>
          <t>—</t>
        </is>
      </c>
      <c r="T10" s="56" t="inlineStr">
        <is>
          <t>—</t>
        </is>
      </c>
      <c r="U10" s="56" t="inlineStr">
        <is>
          <t>—</t>
        </is>
      </c>
      <c r="V10" s="56" t="inlineStr">
        <is>
          <t>—</t>
        </is>
      </c>
      <c r="W10" s="56" t="inlineStr">
        <is>
          <t>—</t>
        </is>
      </c>
      <c r="X10" s="57" t="inlineStr">
        <is>
          <t>[AMA]
45036
WSI Organic Sugar 6c</t>
        </is>
      </c>
      <c r="Y10" s="57" t="inlineStr">
        <is>
          <t>[AMA]
45036
WSI Organic Sugar 6c</t>
        </is>
      </c>
      <c r="Z10" s="57" t="inlineStr">
        <is>
          <t>[AMA]
32139
BLTN Nat Demerara 10</t>
        </is>
      </c>
      <c r="AA10" s="57" t="inlineStr">
        <is>
          <t>[AMA]
32139
BLTN Nat Demerara 10</t>
        </is>
      </c>
      <c r="AB10" s="57" t="inlineStr">
        <is>
          <t>[AMA]
20231
W Organic Blue Agave</t>
        </is>
      </c>
      <c r="AC10" s="57" t="inlineStr">
        <is>
          <t>[AMA]
20231
W Organic Blue Agave</t>
        </is>
      </c>
      <c r="AD10" s="57" t="inlineStr">
        <is>
          <t>[AMA]
45641
WS Regen FT Org Ligh</t>
        </is>
      </c>
      <c r="AE10" s="57" t="inlineStr">
        <is>
          <t>[AMA]
45641
WS Regen FT Org Ligh</t>
        </is>
      </c>
      <c r="AF10" s="57" t="inlineStr">
        <is>
          <t>[AMA]
94660
Wholesome Organic St</t>
        </is>
      </c>
      <c r="AG10" s="57" t="inlineStr">
        <is>
          <t>[AMA]
94660
Wholesome Organic St</t>
        </is>
      </c>
    </row>
    <row r="11" ht="48" customHeight="1">
      <c r="A11" s="60" t="inlineStr">
        <is>
          <t>Level D
(~18–24ft)</t>
        </is>
      </c>
      <c r="B11" s="56" t="inlineStr">
        <is>
          <t>—</t>
        </is>
      </c>
      <c r="C11" s="56" t="inlineStr">
        <is>
          <t>—</t>
        </is>
      </c>
      <c r="D11" s="56" t="inlineStr">
        <is>
          <t>—</t>
        </is>
      </c>
      <c r="E11" s="56" t="inlineStr">
        <is>
          <t>—</t>
        </is>
      </c>
      <c r="F11" s="56" t="inlineStr">
        <is>
          <t>—</t>
        </is>
      </c>
      <c r="G11" s="56" t="inlineStr">
        <is>
          <t>—</t>
        </is>
      </c>
      <c r="H11" s="56" t="inlineStr">
        <is>
          <t>—</t>
        </is>
      </c>
      <c r="I11" s="56" t="inlineStr">
        <is>
          <t>—</t>
        </is>
      </c>
      <c r="J11" s="56" t="inlineStr">
        <is>
          <t>—</t>
        </is>
      </c>
      <c r="K11" s="56" t="inlineStr">
        <is>
          <t>—</t>
        </is>
      </c>
      <c r="L11" s="56" t="inlineStr">
        <is>
          <t>—</t>
        </is>
      </c>
      <c r="M11" s="56" t="inlineStr">
        <is>
          <t>—</t>
        </is>
      </c>
      <c r="N11" s="56" t="inlineStr">
        <is>
          <t>—</t>
        </is>
      </c>
      <c r="O11" s="56" t="inlineStr">
        <is>
          <t>—</t>
        </is>
      </c>
      <c r="P11" s="56" t="inlineStr">
        <is>
          <t>—</t>
        </is>
      </c>
      <c r="Q11" s="56" t="inlineStr">
        <is>
          <t>—</t>
        </is>
      </c>
      <c r="R11" s="56" t="inlineStr">
        <is>
          <t>—</t>
        </is>
      </c>
      <c r="S11" s="56" t="inlineStr">
        <is>
          <t>—</t>
        </is>
      </c>
      <c r="T11" s="56" t="inlineStr">
        <is>
          <t>—</t>
        </is>
      </c>
      <c r="U11" s="56" t="inlineStr">
        <is>
          <t>—</t>
        </is>
      </c>
      <c r="V11" s="56" t="inlineStr">
        <is>
          <t>—</t>
        </is>
      </c>
      <c r="W11" s="56" t="inlineStr">
        <is>
          <t>—</t>
        </is>
      </c>
      <c r="X11" s="56" t="inlineStr">
        <is>
          <t>—</t>
        </is>
      </c>
      <c r="Y11" s="56" t="inlineStr">
        <is>
          <t>—</t>
        </is>
      </c>
      <c r="Z11" s="56" t="inlineStr">
        <is>
          <t>—</t>
        </is>
      </c>
      <c r="AA11" s="56" t="inlineStr">
        <is>
          <t>—</t>
        </is>
      </c>
      <c r="AB11" s="56" t="inlineStr">
        <is>
          <t>—</t>
        </is>
      </c>
      <c r="AC11" s="56" t="inlineStr">
        <is>
          <t>—</t>
        </is>
      </c>
      <c r="AD11" s="56" t="inlineStr">
        <is>
          <t>—</t>
        </is>
      </c>
      <c r="AE11" s="56" t="inlineStr">
        <is>
          <t>—</t>
        </is>
      </c>
      <c r="AF11" s="56" t="inlineStr">
        <is>
          <t>—</t>
        </is>
      </c>
      <c r="AG11" s="56" t="inlineStr">
        <is>
          <t>—</t>
        </is>
      </c>
    </row>
    <row r="12" ht="6" customHeight="1"/>
    <row r="13" ht="19.5" customHeight="1">
      <c r="A13" s="227" t="inlineStr">
        <is>
          <t>RACK 31 TOTALS  |  128 total pallet spaces  |  16 columns (odd &amp; even)  |  Target occupies ~12 spaces  |  Amazon occupies ~56 spaces  |  Available: ~60 spaces</t>
        </is>
      </c>
    </row>
  </sheetData>
  <mergeCells count="23">
    <mergeCell ref="Z6:AA6"/>
    <mergeCell ref="AB6:AC6"/>
    <mergeCell ref="A4:D4"/>
    <mergeCell ref="I4:L4"/>
    <mergeCell ref="F6:G6"/>
    <mergeCell ref="D6:E6"/>
    <mergeCell ref="H6:I6"/>
    <mergeCell ref="M4:P4"/>
    <mergeCell ref="J6:K6"/>
    <mergeCell ref="P6:Q6"/>
    <mergeCell ref="R6:S6"/>
    <mergeCell ref="A1:AI1"/>
    <mergeCell ref="AD6:AE6"/>
    <mergeCell ref="A13:AE13"/>
    <mergeCell ref="AF6:AG6"/>
    <mergeCell ref="V6:W6"/>
    <mergeCell ref="X6:Y6"/>
    <mergeCell ref="E4:H4"/>
    <mergeCell ref="B6:C6"/>
    <mergeCell ref="A2:AI2"/>
    <mergeCell ref="L6:M6"/>
    <mergeCell ref="N6:O6"/>
    <mergeCell ref="T6:U6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zoomScale="125" zoomScaleNormal="125" workbookViewId="0">
      <pane ySplit="4" topLeftCell="A5" activePane="bottomLeft" state="frozen"/>
      <selection pane="bottomLeft" activeCell="A19" sqref="A19"/>
    </sheetView>
  </sheetViews>
  <sheetFormatPr baseColWidth="8" defaultColWidth="8.42578125" defaultRowHeight="14.45"/>
  <cols>
    <col width="11" customWidth="1" min="1" max="1"/>
    <col width="10" customWidth="1" min="2" max="2"/>
    <col width="36" customWidth="1" min="3" max="3"/>
    <col width="8" customWidth="1" min="4" max="5"/>
    <col width="12" customWidth="1" min="6" max="6"/>
    <col width="10" customWidth="1" min="7" max="7"/>
    <col width="8" customWidth="1" min="8" max="8"/>
    <col width="18" customWidth="1" min="9" max="9"/>
    <col width="12" customWidth="1" min="10" max="10"/>
    <col width="9" customWidth="1" min="11" max="11"/>
    <col width="11" customWidth="1" min="12" max="12"/>
    <col width="10" customWidth="1" min="13" max="13"/>
    <col width="36" customWidth="1" min="14" max="14"/>
  </cols>
  <sheetData>
    <row r="1" ht="33.75" customHeight="1">
      <c r="A1" s="229" t="inlineStr">
        <is>
          <t>Complete Cell Assignment Matrix — Racks 30 &amp; 31 | Target &amp; Amazon</t>
        </is>
      </c>
    </row>
    <row r="2" ht="36" customHeight="1">
      <c r="A2" s="286" t="inlineStr">
        <is>
          <t>256 total pallet spaces (16 cols × 4 levels × 2 pallets × 2 racks). Top 7 Target + Top 15 Amazon SKUs assigned (44 slots = 17.2% utilization). Ranks 16–25 in scope but unassigned, reserved for demand growth.</t>
        </is>
      </c>
    </row>
    <row r="3" ht="6" customHeight="1"/>
    <row r="4" ht="30" customHeight="1">
      <c r="A4" s="61" t="inlineStr">
        <is>
          <t>Customer</t>
        </is>
      </c>
      <c r="B4" s="61" t="inlineStr">
        <is>
          <t>Item #</t>
        </is>
      </c>
      <c r="C4" s="61" t="inlineStr">
        <is>
          <t>Product Description</t>
        </is>
      </c>
      <c r="D4" s="61" t="inlineStr">
        <is>
          <t>ABC
Class</t>
        </is>
      </c>
      <c r="E4" s="61" t="inlineStr">
        <is>
          <t>Rack #</t>
        </is>
      </c>
      <c r="F4" s="61" t="inlineStr">
        <is>
          <t>Col # 
(30=odd)</t>
        </is>
      </c>
      <c r="G4" s="61" t="inlineStr">
        <is>
          <t>Level
(A=ground)</t>
        </is>
      </c>
      <c r="H4" s="61" t="inlineStr">
        <is>
          <t>Pallet
Slot</t>
        </is>
      </c>
      <c r="I4" s="61" t="inlineStr">
        <is>
          <t>Cell Address</t>
        </is>
      </c>
      <c r="J4" s="61" t="inlineStr">
        <is>
          <t>Total Cases</t>
        </is>
      </c>
      <c r="K4" s="61" t="inlineStr">
        <is>
          <t># Orders</t>
        </is>
      </c>
      <c r="L4" s="61" t="inlineStr">
        <is>
          <t>Avg Cases
/ Order</t>
        </is>
      </c>
      <c r="M4" s="61" t="inlineStr">
        <is>
          <t>Priority
Rank</t>
        </is>
      </c>
      <c r="N4" s="61" t="inlineStr">
        <is>
          <t>Level Rationale</t>
        </is>
      </c>
    </row>
    <row r="5" ht="15.75" customHeight="1">
      <c r="A5" s="62" t="inlineStr">
        <is>
          <t>TARGET</t>
        </is>
      </c>
      <c r="B5" s="19" t="inlineStr">
        <is>
          <t>62632</t>
        </is>
      </c>
      <c r="C5" s="63" t="inlineStr">
        <is>
          <t>Target GG Org Sugar, 6ct-2lb</t>
        </is>
      </c>
      <c r="D5" s="64" t="inlineStr">
        <is>
          <t>A</t>
        </is>
      </c>
      <c r="E5" s="18" t="n">
        <v>30</v>
      </c>
      <c r="F5" s="21" t="inlineStr">
        <is>
          <t>1 (odd)</t>
        </is>
      </c>
      <c r="G5" s="65" t="inlineStr">
        <is>
          <t>A</t>
        </is>
      </c>
      <c r="H5" s="21" t="n">
        <v>1</v>
      </c>
      <c r="I5" s="27" t="inlineStr">
        <is>
          <t>R30-C01-A-S1</t>
        </is>
      </c>
      <c r="J5" s="66" t="n">
        <v>13157</v>
      </c>
      <c r="K5" s="21" t="n">
        <v>182</v>
      </c>
      <c r="L5" s="23" t="n">
        <v>72.3</v>
      </c>
      <c r="M5" s="19" t="n">
        <v>1</v>
      </c>
      <c r="N5" s="67" t="inlineStr">
        <is>
          <t>Level A: ground floor, immediate forklift access (~0-6ft)</t>
        </is>
      </c>
    </row>
    <row r="6" ht="15.75" customHeight="1">
      <c r="A6" s="68" t="inlineStr">
        <is>
          <t>TARGET</t>
        </is>
      </c>
      <c r="B6" s="8" t="inlineStr">
        <is>
          <t>62632</t>
        </is>
      </c>
      <c r="C6" s="69" t="inlineStr">
        <is>
          <t>Target GG Org Sugar, 6ct-2lb</t>
        </is>
      </c>
      <c r="D6" s="64" t="inlineStr">
        <is>
          <t>A</t>
        </is>
      </c>
      <c r="E6" s="7" t="n">
        <v>30</v>
      </c>
      <c r="F6" s="10" t="inlineStr">
        <is>
          <t>1 (odd)</t>
        </is>
      </c>
      <c r="G6" s="65" t="inlineStr">
        <is>
          <t>A</t>
        </is>
      </c>
      <c r="H6" s="10" t="n">
        <v>2</v>
      </c>
      <c r="I6" s="16" t="inlineStr">
        <is>
          <t>R30-C01-A-S2</t>
        </is>
      </c>
      <c r="J6" s="70" t="n">
        <v>13157</v>
      </c>
      <c r="K6" s="10" t="n">
        <v>182</v>
      </c>
      <c r="L6" s="12" t="n">
        <v>72.3</v>
      </c>
      <c r="M6" s="8" t="n">
        <v>1</v>
      </c>
      <c r="N6" s="71" t="inlineStr">
        <is>
          <t>Level A: ground floor, immediate forklift access (~0-6ft)</t>
        </is>
      </c>
    </row>
    <row r="7" ht="15.75" customHeight="1">
      <c r="A7" s="62" t="inlineStr">
        <is>
          <t>TARGET</t>
        </is>
      </c>
      <c r="B7" s="19" t="inlineStr">
        <is>
          <t>62641</t>
        </is>
      </c>
      <c r="C7" s="63" t="inlineStr">
        <is>
          <t>Target GG Org Light Brown Sugar 6ct-1.5lb</t>
        </is>
      </c>
      <c r="D7" s="72" t="inlineStr">
        <is>
          <t>B</t>
        </is>
      </c>
      <c r="E7" s="18" t="n">
        <v>30</v>
      </c>
      <c r="F7" s="21" t="inlineStr">
        <is>
          <t>3 (odd)</t>
        </is>
      </c>
      <c r="G7" s="73" t="inlineStr">
        <is>
          <t>B</t>
        </is>
      </c>
      <c r="H7" s="21" t="n">
        <v>1</v>
      </c>
      <c r="I7" s="27" t="inlineStr">
        <is>
          <t>R30-C03-B-S1</t>
        </is>
      </c>
      <c r="J7" s="66" t="n">
        <v>6454</v>
      </c>
      <c r="K7" s="21" t="n">
        <v>145</v>
      </c>
      <c r="L7" s="23" t="n">
        <v>44.5</v>
      </c>
      <c r="M7" s="19" t="n">
        <v>2</v>
      </c>
      <c r="N7" s="67" t="inlineStr">
        <is>
          <t>Level B: second level, efficient forklift reach (~6-12ft)</t>
        </is>
      </c>
    </row>
    <row r="8" ht="15.75" customHeight="1">
      <c r="A8" s="68" t="inlineStr">
        <is>
          <t>TARGET</t>
        </is>
      </c>
      <c r="B8" s="8" t="inlineStr">
        <is>
          <t>62641</t>
        </is>
      </c>
      <c r="C8" s="69" t="inlineStr">
        <is>
          <t>Target GG Org Light Brown Sugar 6ct-1.5lb</t>
        </is>
      </c>
      <c r="D8" s="72" t="inlineStr">
        <is>
          <t>B</t>
        </is>
      </c>
      <c r="E8" s="7" t="n">
        <v>30</v>
      </c>
      <c r="F8" s="10" t="inlineStr">
        <is>
          <t>3 (odd)</t>
        </is>
      </c>
      <c r="G8" s="73" t="inlineStr">
        <is>
          <t>B</t>
        </is>
      </c>
      <c r="H8" s="10" t="n">
        <v>2</v>
      </c>
      <c r="I8" s="16" t="inlineStr">
        <is>
          <t>R30-C03-B-S2</t>
        </is>
      </c>
      <c r="J8" s="70" t="n">
        <v>6454</v>
      </c>
      <c r="K8" s="10" t="n">
        <v>145</v>
      </c>
      <c r="L8" s="12" t="n">
        <v>44.5</v>
      </c>
      <c r="M8" s="8" t="n">
        <v>2</v>
      </c>
      <c r="N8" s="71" t="inlineStr">
        <is>
          <t>Level B: second level, efficient forklift reach (~6-12ft)</t>
        </is>
      </c>
    </row>
    <row r="9" ht="15.75" customHeight="1">
      <c r="A9" s="62" t="inlineStr">
        <is>
          <t>TARGET</t>
        </is>
      </c>
      <c r="B9" s="19" t="inlineStr">
        <is>
          <t>62004</t>
        </is>
      </c>
      <c r="C9" s="63" t="inlineStr">
        <is>
          <t>Target GG Org Powdered Sugar 6ct-1lb</t>
        </is>
      </c>
      <c r="D9" s="72" t="inlineStr">
        <is>
          <t>B</t>
        </is>
      </c>
      <c r="E9" s="18" t="n">
        <v>30</v>
      </c>
      <c r="F9" s="21" t="inlineStr">
        <is>
          <t>5 (odd)</t>
        </is>
      </c>
      <c r="G9" s="73" t="inlineStr">
        <is>
          <t>B</t>
        </is>
      </c>
      <c r="H9" s="21" t="n">
        <v>1</v>
      </c>
      <c r="I9" s="27" t="inlineStr">
        <is>
          <t>R30-C05-B-S1</t>
        </is>
      </c>
      <c r="J9" s="66" t="n">
        <v>4891</v>
      </c>
      <c r="K9" s="21" t="n">
        <v>164</v>
      </c>
      <c r="L9" s="23" t="n">
        <v>29.8</v>
      </c>
      <c r="M9" s="19" t="n">
        <v>3</v>
      </c>
      <c r="N9" s="67" t="inlineStr">
        <is>
          <t>Level B: second level, efficient forklift reach (~6-12ft)</t>
        </is>
      </c>
    </row>
    <row r="10" ht="15.75" customHeight="1">
      <c r="A10" s="68" t="inlineStr">
        <is>
          <t>TARGET</t>
        </is>
      </c>
      <c r="B10" s="8" t="inlineStr">
        <is>
          <t>62004</t>
        </is>
      </c>
      <c r="C10" s="69" t="inlineStr">
        <is>
          <t>Target GG Org Powdered Sugar 6ct-1lb</t>
        </is>
      </c>
      <c r="D10" s="72" t="inlineStr">
        <is>
          <t>B</t>
        </is>
      </c>
      <c r="E10" s="7" t="n">
        <v>30</v>
      </c>
      <c r="F10" s="10" t="inlineStr">
        <is>
          <t>5 (odd)</t>
        </is>
      </c>
      <c r="G10" s="73" t="inlineStr">
        <is>
          <t>B</t>
        </is>
      </c>
      <c r="H10" s="10" t="n">
        <v>2</v>
      </c>
      <c r="I10" s="16" t="inlineStr">
        <is>
          <t>R30-C05-B-S2</t>
        </is>
      </c>
      <c r="J10" s="70" t="n">
        <v>4891</v>
      </c>
      <c r="K10" s="10" t="n">
        <v>164</v>
      </c>
      <c r="L10" s="12" t="n">
        <v>29.8</v>
      </c>
      <c r="M10" s="8" t="n">
        <v>3</v>
      </c>
      <c r="N10" s="71" t="inlineStr">
        <is>
          <t>Level B: second level, efficient forklift reach (~6-12ft)</t>
        </is>
      </c>
    </row>
    <row r="11" ht="15.75" customHeight="1">
      <c r="A11" s="62" t="inlineStr">
        <is>
          <t>TARGET</t>
        </is>
      </c>
      <c r="B11" s="19" t="inlineStr">
        <is>
          <t>62106</t>
        </is>
      </c>
      <c r="C11" s="63" t="inlineStr">
        <is>
          <t>Target GG Org. Coconut Palm Sugar 6ct-1lb</t>
        </is>
      </c>
      <c r="D11" s="74" t="inlineStr">
        <is>
          <t>C</t>
        </is>
      </c>
      <c r="E11" s="18" t="n">
        <v>30</v>
      </c>
      <c r="F11" s="21" t="inlineStr">
        <is>
          <t>7 (odd)</t>
        </is>
      </c>
      <c r="G11" s="75" t="inlineStr">
        <is>
          <t>C</t>
        </is>
      </c>
      <c r="H11" s="21" t="n">
        <v>1</v>
      </c>
      <c r="I11" s="27" t="inlineStr">
        <is>
          <t>R30-C07-C-S1</t>
        </is>
      </c>
      <c r="J11" s="66" t="n">
        <v>3323</v>
      </c>
      <c r="K11" s="21" t="n">
        <v>189</v>
      </c>
      <c r="L11" s="23" t="n">
        <v>17.6</v>
      </c>
      <c r="M11" s="19" t="n">
        <v>4</v>
      </c>
      <c r="N11" s="67" t="inlineStr">
        <is>
          <t>Level C: mid-rack, moderate forklift reach (~12-18ft)</t>
        </is>
      </c>
    </row>
    <row r="12" ht="15.75" customHeight="1">
      <c r="A12" s="68" t="inlineStr">
        <is>
          <t>TARGET</t>
        </is>
      </c>
      <c r="B12" s="8" t="inlineStr">
        <is>
          <t>62106</t>
        </is>
      </c>
      <c r="C12" s="69" t="inlineStr">
        <is>
          <t>Target GG Org. Coconut Palm Sugar 6ct-1lb</t>
        </is>
      </c>
      <c r="D12" s="74" t="inlineStr">
        <is>
          <t>C</t>
        </is>
      </c>
      <c r="E12" s="7" t="n">
        <v>30</v>
      </c>
      <c r="F12" s="10" t="inlineStr">
        <is>
          <t>7 (odd)</t>
        </is>
      </c>
      <c r="G12" s="75" t="inlineStr">
        <is>
          <t>C</t>
        </is>
      </c>
      <c r="H12" s="10" t="n">
        <v>2</v>
      </c>
      <c r="I12" s="16" t="inlineStr">
        <is>
          <t>R30-C07-C-S2</t>
        </is>
      </c>
      <c r="J12" s="70" t="n">
        <v>3323</v>
      </c>
      <c r="K12" s="10" t="n">
        <v>189</v>
      </c>
      <c r="L12" s="12" t="n">
        <v>17.6</v>
      </c>
      <c r="M12" s="8" t="n">
        <v>4</v>
      </c>
      <c r="N12" s="71" t="inlineStr">
        <is>
          <t>Level C: mid-rack, moderate forklift reach (~12-18ft)</t>
        </is>
      </c>
    </row>
    <row r="13" ht="15.75" customHeight="1">
      <c r="A13" s="62" t="inlineStr">
        <is>
          <t>TARGET</t>
        </is>
      </c>
      <c r="B13" s="19" t="inlineStr">
        <is>
          <t>62231</t>
        </is>
      </c>
      <c r="C13" s="63" t="inlineStr">
        <is>
          <t>Target GG Org Light Agave, 6ct-23.5oz</t>
        </is>
      </c>
      <c r="D13" s="74" t="inlineStr">
        <is>
          <t>C</t>
        </is>
      </c>
      <c r="E13" s="18" t="n">
        <v>31</v>
      </c>
      <c r="F13" s="21" t="inlineStr">
        <is>
          <t>1</t>
        </is>
      </c>
      <c r="G13" s="75" t="inlineStr">
        <is>
          <t>C</t>
        </is>
      </c>
      <c r="H13" s="21" t="n">
        <v>1</v>
      </c>
      <c r="I13" s="27" t="inlineStr">
        <is>
          <t>R31-C01-C-S1</t>
        </is>
      </c>
      <c r="J13" s="66" t="n">
        <v>3092</v>
      </c>
      <c r="K13" s="21" t="n">
        <v>194</v>
      </c>
      <c r="L13" s="23" t="n">
        <v>15.9</v>
      </c>
      <c r="M13" s="19" t="n">
        <v>5</v>
      </c>
      <c r="N13" s="67" t="inlineStr">
        <is>
          <t>Level C: mid-rack, moderate forklift reach (~12-18ft)</t>
        </is>
      </c>
    </row>
    <row r="14" ht="15.75" customHeight="1">
      <c r="A14" s="68" t="inlineStr">
        <is>
          <t>TARGET</t>
        </is>
      </c>
      <c r="B14" s="8" t="inlineStr">
        <is>
          <t>62231</t>
        </is>
      </c>
      <c r="C14" s="69" t="inlineStr">
        <is>
          <t>Target GG Org Light Agave, 6ct-23.5oz</t>
        </is>
      </c>
      <c r="D14" s="74" t="inlineStr">
        <is>
          <t>C</t>
        </is>
      </c>
      <c r="E14" s="7" t="n">
        <v>31</v>
      </c>
      <c r="F14" s="10" t="inlineStr">
        <is>
          <t>1</t>
        </is>
      </c>
      <c r="G14" s="75" t="inlineStr">
        <is>
          <t>C</t>
        </is>
      </c>
      <c r="H14" s="10" t="n">
        <v>2</v>
      </c>
      <c r="I14" s="16" t="inlineStr">
        <is>
          <t>R31-C01-C-S2</t>
        </is>
      </c>
      <c r="J14" s="70" t="n">
        <v>3092</v>
      </c>
      <c r="K14" s="10" t="n">
        <v>194</v>
      </c>
      <c r="L14" s="12" t="n">
        <v>15.9</v>
      </c>
      <c r="M14" s="8" t="n">
        <v>5</v>
      </c>
      <c r="N14" s="71" t="inlineStr">
        <is>
          <t>Level C: mid-rack, moderate forklift reach (~12-18ft)</t>
        </is>
      </c>
    </row>
    <row r="15" ht="15.75" customHeight="1">
      <c r="A15" s="62" t="inlineStr">
        <is>
          <t>TARGET</t>
        </is>
      </c>
      <c r="B15" s="19" t="inlineStr">
        <is>
          <t>62432</t>
        </is>
      </c>
      <c r="C15" s="63" t="inlineStr">
        <is>
          <t>Target GG Org Sugar, 6ct-4lb</t>
        </is>
      </c>
      <c r="D15" s="74" t="inlineStr">
        <is>
          <t>C</t>
        </is>
      </c>
      <c r="E15" s="18" t="n">
        <v>31</v>
      </c>
      <c r="F15" s="21" t="inlineStr">
        <is>
          <t>2</t>
        </is>
      </c>
      <c r="G15" s="75" t="inlineStr">
        <is>
          <t>C</t>
        </is>
      </c>
      <c r="H15" s="21" t="n">
        <v>1</v>
      </c>
      <c r="I15" s="27" t="inlineStr">
        <is>
          <t>R31-C02-C-S1</t>
        </is>
      </c>
      <c r="J15" s="66" t="n">
        <v>2511</v>
      </c>
      <c r="K15" s="21" t="n">
        <v>168</v>
      </c>
      <c r="L15" s="23" t="n">
        <v>14.9</v>
      </c>
      <c r="M15" s="19" t="n">
        <v>6</v>
      </c>
      <c r="N15" s="67" t="inlineStr">
        <is>
          <t>Level C: mid-rack, moderate forklift reach (~12-18ft)</t>
        </is>
      </c>
    </row>
    <row r="16" ht="15.75" customHeight="1">
      <c r="A16" s="68" t="inlineStr">
        <is>
          <t>TARGET</t>
        </is>
      </c>
      <c r="B16" s="8" t="inlineStr">
        <is>
          <t>62432</t>
        </is>
      </c>
      <c r="C16" s="69" t="inlineStr">
        <is>
          <t>Target GG Org Sugar, 6ct-4lb</t>
        </is>
      </c>
      <c r="D16" s="74" t="inlineStr">
        <is>
          <t>C</t>
        </is>
      </c>
      <c r="E16" s="7" t="n">
        <v>31</v>
      </c>
      <c r="F16" s="10" t="inlineStr">
        <is>
          <t>2</t>
        </is>
      </c>
      <c r="G16" s="75" t="inlineStr">
        <is>
          <t>C</t>
        </is>
      </c>
      <c r="H16" s="10" t="n">
        <v>2</v>
      </c>
      <c r="I16" s="16" t="inlineStr">
        <is>
          <t>R31-C02-C-S2</t>
        </is>
      </c>
      <c r="J16" s="70" t="n">
        <v>2511</v>
      </c>
      <c r="K16" s="10" t="n">
        <v>168</v>
      </c>
      <c r="L16" s="12" t="n">
        <v>14.9</v>
      </c>
      <c r="M16" s="8" t="n">
        <v>6</v>
      </c>
      <c r="N16" s="71" t="inlineStr">
        <is>
          <t>Level C: mid-rack, moderate forklift reach (~12-18ft)</t>
        </is>
      </c>
    </row>
    <row r="17" ht="15.75" customHeight="1">
      <c r="A17" s="62" t="inlineStr">
        <is>
          <t>TARGET</t>
        </is>
      </c>
      <c r="B17" s="19" t="inlineStr">
        <is>
          <t>62232</t>
        </is>
      </c>
      <c r="C17" s="63" t="inlineStr">
        <is>
          <t>Target GG Org. Raw Agave 6ct-23.5oz</t>
        </is>
      </c>
      <c r="D17" s="74" t="inlineStr">
        <is>
          <t>C</t>
        </is>
      </c>
      <c r="E17" s="18" t="n">
        <v>31</v>
      </c>
      <c r="F17" s="21" t="inlineStr">
        <is>
          <t>3</t>
        </is>
      </c>
      <c r="G17" s="75" t="inlineStr">
        <is>
          <t>C</t>
        </is>
      </c>
      <c r="H17" s="21" t="n">
        <v>1</v>
      </c>
      <c r="I17" s="27" t="inlineStr">
        <is>
          <t>R31-C03-C-S1</t>
        </is>
      </c>
      <c r="J17" s="66" t="n">
        <v>1176</v>
      </c>
      <c r="K17" s="21" t="n">
        <v>179</v>
      </c>
      <c r="L17" s="23" t="n">
        <v>6.6</v>
      </c>
      <c r="M17" s="19" t="n">
        <v>7</v>
      </c>
      <c r="N17" s="67" t="inlineStr">
        <is>
          <t>Level C: mid-rack, moderate forklift reach (~12-18ft)</t>
        </is>
      </c>
    </row>
    <row r="18" ht="15.75" customHeight="1">
      <c r="A18" s="68" t="inlineStr">
        <is>
          <t>TARGET</t>
        </is>
      </c>
      <c r="B18" s="8" t="inlineStr">
        <is>
          <t>62232</t>
        </is>
      </c>
      <c r="C18" s="69" t="inlineStr">
        <is>
          <t>Target GG Org. Raw Agave 6ct-23.5oz</t>
        </is>
      </c>
      <c r="D18" s="74" t="inlineStr">
        <is>
          <t>C</t>
        </is>
      </c>
      <c r="E18" s="7" t="n">
        <v>31</v>
      </c>
      <c r="F18" s="10" t="inlineStr">
        <is>
          <t>3</t>
        </is>
      </c>
      <c r="G18" s="75" t="inlineStr">
        <is>
          <t>C</t>
        </is>
      </c>
      <c r="H18" s="10" t="n">
        <v>2</v>
      </c>
      <c r="I18" s="16" t="inlineStr">
        <is>
          <t>R31-C03-C-S2</t>
        </is>
      </c>
      <c r="J18" s="70" t="n">
        <v>1176</v>
      </c>
      <c r="K18" s="10" t="n">
        <v>179</v>
      </c>
      <c r="L18" s="12" t="n">
        <v>6.6</v>
      </c>
      <c r="M18" s="8" t="n">
        <v>7</v>
      </c>
      <c r="N18" s="71" t="inlineStr">
        <is>
          <t>Level C: mid-rack, moderate forklift reach (~12-18ft)</t>
        </is>
      </c>
    </row>
    <row r="19" ht="15.75" customHeight="1">
      <c r="A19" s="76" t="inlineStr">
        <is>
          <t>AMAZON</t>
        </is>
      </c>
      <c r="B19" s="38" t="inlineStr">
        <is>
          <t>95612</t>
        </is>
      </c>
      <c r="C19" s="77" t="inlineStr">
        <is>
          <t>WS Allulose Liquid Sweetener, 6ct-11.5oz</t>
        </is>
      </c>
      <c r="D19" s="64" t="inlineStr">
        <is>
          <t>A</t>
        </is>
      </c>
      <c r="E19" s="37" t="n">
        <v>30</v>
      </c>
      <c r="F19" s="40" t="inlineStr">
        <is>
          <t>1 (odd)</t>
        </is>
      </c>
      <c r="G19" s="65" t="inlineStr">
        <is>
          <t>A</t>
        </is>
      </c>
      <c r="H19" s="40" t="n">
        <v>1</v>
      </c>
      <c r="I19" s="45" t="inlineStr">
        <is>
          <t>R30-C01-A-S1</t>
        </is>
      </c>
      <c r="J19" s="78" t="n">
        <v>3796</v>
      </c>
      <c r="K19" s="40" t="n">
        <v>57</v>
      </c>
      <c r="L19" s="42" t="n">
        <v>66.59999999999999</v>
      </c>
      <c r="M19" s="38" t="n">
        <v>1</v>
      </c>
      <c r="N19" s="79" t="inlineStr">
        <is>
          <t>Level A: ground floor, immediate forklift access (~0-6ft)</t>
        </is>
      </c>
    </row>
    <row r="20" ht="15.75" customHeight="1">
      <c r="A20" s="80" t="inlineStr">
        <is>
          <t>AMAZON</t>
        </is>
      </c>
      <c r="B20" s="8" t="inlineStr">
        <is>
          <t>95612</t>
        </is>
      </c>
      <c r="C20" s="69" t="inlineStr">
        <is>
          <t>WS Allulose Liquid Sweetener, 6ct-11.5oz</t>
        </is>
      </c>
      <c r="D20" s="64" t="inlineStr">
        <is>
          <t>A</t>
        </is>
      </c>
      <c r="E20" s="7" t="n">
        <v>30</v>
      </c>
      <c r="F20" s="10" t="inlineStr">
        <is>
          <t>1 (odd)</t>
        </is>
      </c>
      <c r="G20" s="65" t="inlineStr">
        <is>
          <t>A</t>
        </is>
      </c>
      <c r="H20" s="10" t="n">
        <v>2</v>
      </c>
      <c r="I20" s="16" t="inlineStr">
        <is>
          <t>R30-C01-A-S2</t>
        </is>
      </c>
      <c r="J20" s="70" t="n">
        <v>3796</v>
      </c>
      <c r="K20" s="10" t="n">
        <v>57</v>
      </c>
      <c r="L20" s="12" t="n">
        <v>66.59999999999999</v>
      </c>
      <c r="M20" s="8" t="n">
        <v>1</v>
      </c>
      <c r="N20" s="71" t="inlineStr">
        <is>
          <t>Level A: ground floor, immediate forklift access (~0-6ft)</t>
        </is>
      </c>
    </row>
    <row r="21" ht="15.75" customHeight="1">
      <c r="A21" s="76" t="inlineStr">
        <is>
          <t>AMAZON</t>
        </is>
      </c>
      <c r="B21" s="38" t="inlineStr">
        <is>
          <t>45022</t>
        </is>
      </c>
      <c r="C21" s="77" t="inlineStr">
        <is>
          <t>WS FT Org Molasses 12-32 floz Btl</t>
        </is>
      </c>
      <c r="D21" s="64" t="inlineStr">
        <is>
          <t>A</t>
        </is>
      </c>
      <c r="E21" s="37" t="n">
        <v>30</v>
      </c>
      <c r="F21" s="40" t="inlineStr">
        <is>
          <t>3 (odd)</t>
        </is>
      </c>
      <c r="G21" s="65" t="inlineStr">
        <is>
          <t>A</t>
        </is>
      </c>
      <c r="H21" s="40" t="n">
        <v>1</v>
      </c>
      <c r="I21" s="45" t="inlineStr">
        <is>
          <t>R30-C03-A-S1</t>
        </is>
      </c>
      <c r="J21" s="78" t="n">
        <v>2586</v>
      </c>
      <c r="K21" s="40" t="n">
        <v>71</v>
      </c>
      <c r="L21" s="42" t="n">
        <v>36.4</v>
      </c>
      <c r="M21" s="38" t="n">
        <v>2</v>
      </c>
      <c r="N21" s="79" t="inlineStr">
        <is>
          <t>Level A: ground floor, immediate forklift access (~0-6ft)</t>
        </is>
      </c>
    </row>
    <row r="22" ht="15.75" customHeight="1">
      <c r="A22" s="80" t="inlineStr">
        <is>
          <t>AMAZON</t>
        </is>
      </c>
      <c r="B22" s="8" t="inlineStr">
        <is>
          <t>45022</t>
        </is>
      </c>
      <c r="C22" s="69" t="inlineStr">
        <is>
          <t>WS FT Org Molasses 12-32 floz Btl</t>
        </is>
      </c>
      <c r="D22" s="64" t="inlineStr">
        <is>
          <t>A</t>
        </is>
      </c>
      <c r="E22" s="7" t="n">
        <v>30</v>
      </c>
      <c r="F22" s="10" t="inlineStr">
        <is>
          <t>3 (odd)</t>
        </is>
      </c>
      <c r="G22" s="65" t="inlineStr">
        <is>
          <t>A</t>
        </is>
      </c>
      <c r="H22" s="10" t="n">
        <v>2</v>
      </c>
      <c r="I22" s="16" t="inlineStr">
        <is>
          <t>R30-C03-A-S2</t>
        </is>
      </c>
      <c r="J22" s="70" t="n">
        <v>2586</v>
      </c>
      <c r="K22" s="10" t="n">
        <v>71</v>
      </c>
      <c r="L22" s="12" t="n">
        <v>36.4</v>
      </c>
      <c r="M22" s="8" t="n">
        <v>2</v>
      </c>
      <c r="N22" s="71" t="inlineStr">
        <is>
          <t>Level A: ground floor, immediate forklift access (~0-6ft)</t>
        </is>
      </c>
    </row>
    <row r="23" ht="15.75" customHeight="1">
      <c r="A23" s="76" t="inlineStr">
        <is>
          <t>AMAZON</t>
        </is>
      </c>
      <c r="B23" s="38" t="inlineStr">
        <is>
          <t>32004</t>
        </is>
      </c>
      <c r="C23" s="77" t="inlineStr">
        <is>
          <t>WSI Organic ECJ PWD 6ct-1lb 12x</t>
        </is>
      </c>
      <c r="D23" s="64" t="inlineStr">
        <is>
          <t>A</t>
        </is>
      </c>
      <c r="E23" s="37" t="n">
        <v>30</v>
      </c>
      <c r="F23" s="40" t="inlineStr">
        <is>
          <t>5 (odd)</t>
        </is>
      </c>
      <c r="G23" s="65" t="inlineStr">
        <is>
          <t>A</t>
        </is>
      </c>
      <c r="H23" s="40" t="n">
        <v>1</v>
      </c>
      <c r="I23" s="45" t="inlineStr">
        <is>
          <t>R30-C05-A-S1</t>
        </is>
      </c>
      <c r="J23" s="78" t="n">
        <v>2400</v>
      </c>
      <c r="K23" s="40" t="n">
        <v>46</v>
      </c>
      <c r="L23" s="42" t="n">
        <v>52.2</v>
      </c>
      <c r="M23" s="38" t="n">
        <v>3</v>
      </c>
      <c r="N23" s="79" t="inlineStr">
        <is>
          <t>Level A: ground floor, immediate forklift access (~0-6ft)</t>
        </is>
      </c>
    </row>
    <row r="24" ht="15.75" customHeight="1">
      <c r="A24" s="80" t="inlineStr">
        <is>
          <t>AMAZON</t>
        </is>
      </c>
      <c r="B24" s="8" t="inlineStr">
        <is>
          <t>32004</t>
        </is>
      </c>
      <c r="C24" s="69" t="inlineStr">
        <is>
          <t>WSI Organic ECJ PWD 6ct-1lb 12x</t>
        </is>
      </c>
      <c r="D24" s="64" t="inlineStr">
        <is>
          <t>A</t>
        </is>
      </c>
      <c r="E24" s="7" t="n">
        <v>30</v>
      </c>
      <c r="F24" s="10" t="inlineStr">
        <is>
          <t>5 (odd)</t>
        </is>
      </c>
      <c r="G24" s="65" t="inlineStr">
        <is>
          <t>A</t>
        </is>
      </c>
      <c r="H24" s="10" t="n">
        <v>2</v>
      </c>
      <c r="I24" s="16" t="inlineStr">
        <is>
          <t>R30-C05-A-S2</t>
        </is>
      </c>
      <c r="J24" s="70" t="n">
        <v>2400</v>
      </c>
      <c r="K24" s="10" t="n">
        <v>46</v>
      </c>
      <c r="L24" s="12" t="n">
        <v>52.2</v>
      </c>
      <c r="M24" s="8" t="n">
        <v>3</v>
      </c>
      <c r="N24" s="71" t="inlineStr">
        <is>
          <t>Level A: ground floor, immediate forklift access (~0-6ft)</t>
        </is>
      </c>
    </row>
    <row r="25" ht="15.75" customHeight="1">
      <c r="A25" s="76" t="inlineStr">
        <is>
          <t>AMAZON</t>
        </is>
      </c>
      <c r="B25" s="38" t="inlineStr">
        <is>
          <t>95812</t>
        </is>
      </c>
      <c r="C25" s="77" t="inlineStr">
        <is>
          <t>W Allulose, 8ct-12 oz</t>
        </is>
      </c>
      <c r="D25" s="72" t="inlineStr">
        <is>
          <t>B</t>
        </is>
      </c>
      <c r="E25" s="37" t="n">
        <v>31</v>
      </c>
      <c r="F25" s="40" t="inlineStr">
        <is>
          <t>3</t>
        </is>
      </c>
      <c r="G25" s="65" t="inlineStr">
        <is>
          <t>A</t>
        </is>
      </c>
      <c r="H25" s="40" t="n">
        <v>1</v>
      </c>
      <c r="I25" s="45" t="inlineStr">
        <is>
          <t>R31-C03-A-S1</t>
        </is>
      </c>
      <c r="J25" s="78" t="n">
        <v>1964</v>
      </c>
      <c r="K25" s="40" t="n">
        <v>55</v>
      </c>
      <c r="L25" s="42" t="n">
        <v>35.7</v>
      </c>
      <c r="M25" s="38" t="n">
        <v>4</v>
      </c>
      <c r="N25" s="79" t="inlineStr">
        <is>
          <t>Level A: ground floor, immediate forklift access (~0-6ft)</t>
        </is>
      </c>
    </row>
    <row r="26" ht="15.75" customHeight="1">
      <c r="A26" s="80" t="inlineStr">
        <is>
          <t>AMAZON</t>
        </is>
      </c>
      <c r="B26" s="8" t="inlineStr">
        <is>
          <t>95812</t>
        </is>
      </c>
      <c r="C26" s="69" t="inlineStr">
        <is>
          <t>W Allulose, 8ct-12 oz</t>
        </is>
      </c>
      <c r="D26" s="72" t="inlineStr">
        <is>
          <t>B</t>
        </is>
      </c>
      <c r="E26" s="7" t="n">
        <v>31</v>
      </c>
      <c r="F26" s="10" t="inlineStr">
        <is>
          <t>3</t>
        </is>
      </c>
      <c r="G26" s="65" t="inlineStr">
        <is>
          <t>A</t>
        </is>
      </c>
      <c r="H26" s="10" t="n">
        <v>2</v>
      </c>
      <c r="I26" s="16" t="inlineStr">
        <is>
          <t>R31-C03-A-S2</t>
        </is>
      </c>
      <c r="J26" s="70" t="n">
        <v>1964</v>
      </c>
      <c r="K26" s="10" t="n">
        <v>55</v>
      </c>
      <c r="L26" s="12" t="n">
        <v>35.7</v>
      </c>
      <c r="M26" s="8" t="n">
        <v>4</v>
      </c>
      <c r="N26" s="71" t="inlineStr">
        <is>
          <t>Level A: ground floor, immediate forklift access (~0-6ft)</t>
        </is>
      </c>
    </row>
    <row r="27" ht="15.75" customHeight="1">
      <c r="A27" s="76" t="inlineStr">
        <is>
          <t>AMAZON</t>
        </is>
      </c>
      <c r="B27" s="38" t="inlineStr">
        <is>
          <t>46410</t>
        </is>
      </c>
      <c r="C27" s="77" t="inlineStr">
        <is>
          <t>WS FT Org Sugar 4-10lb</t>
        </is>
      </c>
      <c r="D27" s="72" t="inlineStr">
        <is>
          <t>B</t>
        </is>
      </c>
      <c r="E27" s="37" t="n">
        <v>31</v>
      </c>
      <c r="F27" s="40" t="inlineStr">
        <is>
          <t>4</t>
        </is>
      </c>
      <c r="G27" s="65" t="inlineStr">
        <is>
          <t>A</t>
        </is>
      </c>
      <c r="H27" s="40" t="n">
        <v>1</v>
      </c>
      <c r="I27" s="45" t="inlineStr">
        <is>
          <t>R31-C04-A-S1</t>
        </is>
      </c>
      <c r="J27" s="78" t="n">
        <v>1942</v>
      </c>
      <c r="K27" s="40" t="n">
        <v>45</v>
      </c>
      <c r="L27" s="42" t="n">
        <v>43.2</v>
      </c>
      <c r="M27" s="38" t="n">
        <v>5</v>
      </c>
      <c r="N27" s="79" t="inlineStr">
        <is>
          <t>Level A: ground floor, immediate forklift access (~0-6ft)</t>
        </is>
      </c>
    </row>
    <row r="28" ht="15.75" customHeight="1">
      <c r="A28" s="80" t="inlineStr">
        <is>
          <t>AMAZON</t>
        </is>
      </c>
      <c r="B28" s="8" t="inlineStr">
        <is>
          <t>46410</t>
        </is>
      </c>
      <c r="C28" s="69" t="inlineStr">
        <is>
          <t>WS FT Org Sugar 4-10lb</t>
        </is>
      </c>
      <c r="D28" s="72" t="inlineStr">
        <is>
          <t>B</t>
        </is>
      </c>
      <c r="E28" s="7" t="n">
        <v>31</v>
      </c>
      <c r="F28" s="10" t="inlineStr">
        <is>
          <t>4</t>
        </is>
      </c>
      <c r="G28" s="65" t="inlineStr">
        <is>
          <t>A</t>
        </is>
      </c>
      <c r="H28" s="10" t="n">
        <v>2</v>
      </c>
      <c r="I28" s="16" t="inlineStr">
        <is>
          <t>R31-C04-A-S2</t>
        </is>
      </c>
      <c r="J28" s="70" t="n">
        <v>1942</v>
      </c>
      <c r="K28" s="10" t="n">
        <v>45</v>
      </c>
      <c r="L28" s="12" t="n">
        <v>43.2</v>
      </c>
      <c r="M28" s="8" t="n">
        <v>5</v>
      </c>
      <c r="N28" s="71" t="inlineStr">
        <is>
          <t>Level A: ground floor, immediate forklift access (~0-6ft)</t>
        </is>
      </c>
    </row>
    <row r="29" ht="15.75" customHeight="1">
      <c r="A29" s="76" t="inlineStr">
        <is>
          <t>AMAZON</t>
        </is>
      </c>
      <c r="B29" s="38" t="inlineStr">
        <is>
          <t>45021</t>
        </is>
      </c>
      <c r="C29" s="77" t="inlineStr">
        <is>
          <t>WS FT Org Molasses 12-16 floz Btl</t>
        </is>
      </c>
      <c r="D29" s="72" t="inlineStr">
        <is>
          <t>B</t>
        </is>
      </c>
      <c r="E29" s="37" t="n">
        <v>31</v>
      </c>
      <c r="F29" s="40" t="inlineStr">
        <is>
          <t>5</t>
        </is>
      </c>
      <c r="G29" s="65" t="inlineStr">
        <is>
          <t>A</t>
        </is>
      </c>
      <c r="H29" s="40" t="n">
        <v>1</v>
      </c>
      <c r="I29" s="45" t="inlineStr">
        <is>
          <t>R31-C05-A-S1</t>
        </is>
      </c>
      <c r="J29" s="78" t="n">
        <v>1898</v>
      </c>
      <c r="K29" s="40" t="n">
        <v>60</v>
      </c>
      <c r="L29" s="42" t="n">
        <v>31.6</v>
      </c>
      <c r="M29" s="38" t="n">
        <v>6</v>
      </c>
      <c r="N29" s="79" t="inlineStr">
        <is>
          <t>Level A: ground floor, immediate forklift access (~0-6ft)</t>
        </is>
      </c>
    </row>
    <row r="30" ht="15.75" customHeight="1">
      <c r="A30" s="80" t="inlineStr">
        <is>
          <t>AMAZON</t>
        </is>
      </c>
      <c r="B30" s="8" t="inlineStr">
        <is>
          <t>45021</t>
        </is>
      </c>
      <c r="C30" s="69" t="inlineStr">
        <is>
          <t>WS FT Org Molasses 12-16 floz Btl</t>
        </is>
      </c>
      <c r="D30" s="72" t="inlineStr">
        <is>
          <t>B</t>
        </is>
      </c>
      <c r="E30" s="7" t="n">
        <v>31</v>
      </c>
      <c r="F30" s="10" t="inlineStr">
        <is>
          <t>5</t>
        </is>
      </c>
      <c r="G30" s="65" t="inlineStr">
        <is>
          <t>A</t>
        </is>
      </c>
      <c r="H30" s="10" t="n">
        <v>2</v>
      </c>
      <c r="I30" s="16" t="inlineStr">
        <is>
          <t>R31-C05-A-S2</t>
        </is>
      </c>
      <c r="J30" s="70" t="n">
        <v>1898</v>
      </c>
      <c r="K30" s="10" t="n">
        <v>60</v>
      </c>
      <c r="L30" s="12" t="n">
        <v>31.6</v>
      </c>
      <c r="M30" s="8" t="n">
        <v>6</v>
      </c>
      <c r="N30" s="71" t="inlineStr">
        <is>
          <t>Level A: ground floor, immediate forklift access (~0-6ft)</t>
        </is>
      </c>
    </row>
    <row r="31" ht="15.75" customHeight="1">
      <c r="A31" s="76" t="inlineStr">
        <is>
          <t>AMAZON</t>
        </is>
      </c>
      <c r="B31" s="38" t="inlineStr">
        <is>
          <t>44652</t>
        </is>
      </c>
      <c r="C31" s="77" t="inlineStr">
        <is>
          <t>WSI FT Organic Dark Brown Sugar 6ct-1.5lb</t>
        </is>
      </c>
      <c r="D31" s="72" t="inlineStr">
        <is>
          <t>B</t>
        </is>
      </c>
      <c r="E31" s="37" t="n">
        <v>31</v>
      </c>
      <c r="F31" s="40" t="inlineStr">
        <is>
          <t>6</t>
        </is>
      </c>
      <c r="G31" s="65" t="inlineStr">
        <is>
          <t>A</t>
        </is>
      </c>
      <c r="H31" s="40" t="n">
        <v>1</v>
      </c>
      <c r="I31" s="45" t="inlineStr">
        <is>
          <t>R31-C06-A-S1</t>
        </is>
      </c>
      <c r="J31" s="78" t="n">
        <v>750</v>
      </c>
      <c r="K31" s="40" t="n">
        <v>50</v>
      </c>
      <c r="L31" s="42" t="n">
        <v>15</v>
      </c>
      <c r="M31" s="38" t="n">
        <v>7</v>
      </c>
      <c r="N31" s="79" t="inlineStr">
        <is>
          <t>Level A: ground floor, immediate forklift access (~0-6ft)</t>
        </is>
      </c>
    </row>
    <row r="32" ht="15.75" customHeight="1">
      <c r="A32" s="80" t="inlineStr">
        <is>
          <t>AMAZON</t>
        </is>
      </c>
      <c r="B32" s="8" t="inlineStr">
        <is>
          <t>44652</t>
        </is>
      </c>
      <c r="C32" s="69" t="inlineStr">
        <is>
          <t>WSI FT Organic Dark Brown Sugar 6ct-1.5lb</t>
        </is>
      </c>
      <c r="D32" s="72" t="inlineStr">
        <is>
          <t>B</t>
        </is>
      </c>
      <c r="E32" s="7" t="n">
        <v>31</v>
      </c>
      <c r="F32" s="10" t="inlineStr">
        <is>
          <t>6</t>
        </is>
      </c>
      <c r="G32" s="65" t="inlineStr">
        <is>
          <t>A</t>
        </is>
      </c>
      <c r="H32" s="10" t="n">
        <v>2</v>
      </c>
      <c r="I32" s="16" t="inlineStr">
        <is>
          <t>R31-C06-A-S2</t>
        </is>
      </c>
      <c r="J32" s="70" t="n">
        <v>750</v>
      </c>
      <c r="K32" s="10" t="n">
        <v>50</v>
      </c>
      <c r="L32" s="12" t="n">
        <v>15</v>
      </c>
      <c r="M32" s="8" t="n">
        <v>7</v>
      </c>
      <c r="N32" s="71" t="inlineStr">
        <is>
          <t>Level A: ground floor, immediate forklift access (~0-6ft)</t>
        </is>
      </c>
    </row>
    <row r="33" ht="15.75" customHeight="1">
      <c r="A33" s="76" t="inlineStr">
        <is>
          <t>AMAZON</t>
        </is>
      </c>
      <c r="B33" s="38" t="inlineStr">
        <is>
          <t>94675</t>
        </is>
      </c>
      <c r="C33" s="77" t="inlineStr">
        <is>
          <t>WS Org Stevia 6ct 75-1g packets</t>
        </is>
      </c>
      <c r="D33" s="74" t="inlineStr">
        <is>
          <t>C</t>
        </is>
      </c>
      <c r="E33" s="37" t="n">
        <v>31</v>
      </c>
      <c r="F33" s="40" t="inlineStr">
        <is>
          <t>7</t>
        </is>
      </c>
      <c r="G33" s="73" t="inlineStr">
        <is>
          <t>B</t>
        </is>
      </c>
      <c r="H33" s="40" t="n">
        <v>1</v>
      </c>
      <c r="I33" s="45" t="inlineStr">
        <is>
          <t>R31-C07-B-S1</t>
        </is>
      </c>
      <c r="J33" s="78" t="n">
        <v>661</v>
      </c>
      <c r="K33" s="40" t="n">
        <v>52</v>
      </c>
      <c r="L33" s="42" t="n">
        <v>12.7</v>
      </c>
      <c r="M33" s="38" t="n">
        <v>8</v>
      </c>
      <c r="N33" s="79" t="inlineStr">
        <is>
          <t>Level B: second level, efficient forklift reach (~6-12ft)</t>
        </is>
      </c>
    </row>
    <row r="34" ht="15.75" customHeight="1">
      <c r="A34" s="80" t="inlineStr">
        <is>
          <t>AMAZON</t>
        </is>
      </c>
      <c r="B34" s="8" t="inlineStr">
        <is>
          <t>94675</t>
        </is>
      </c>
      <c r="C34" s="69" t="inlineStr">
        <is>
          <t>WS Org Stevia 6ct 75-1g packets</t>
        </is>
      </c>
      <c r="D34" s="74" t="inlineStr">
        <is>
          <t>C</t>
        </is>
      </c>
      <c r="E34" s="7" t="n">
        <v>31</v>
      </c>
      <c r="F34" s="10" t="inlineStr">
        <is>
          <t>7</t>
        </is>
      </c>
      <c r="G34" s="73" t="inlineStr">
        <is>
          <t>B</t>
        </is>
      </c>
      <c r="H34" s="10" t="n">
        <v>2</v>
      </c>
      <c r="I34" s="16" t="inlineStr">
        <is>
          <t>R31-C07-B-S2</t>
        </is>
      </c>
      <c r="J34" s="70" t="n">
        <v>661</v>
      </c>
      <c r="K34" s="10" t="n">
        <v>52</v>
      </c>
      <c r="L34" s="12" t="n">
        <v>12.7</v>
      </c>
      <c r="M34" s="8" t="n">
        <v>8</v>
      </c>
      <c r="N34" s="71" t="inlineStr">
        <is>
          <t>Level B: second level, efficient forklift reach (~6-12ft)</t>
        </is>
      </c>
    </row>
    <row r="35" ht="15.75" customHeight="1">
      <c r="A35" s="76" t="inlineStr">
        <is>
          <t>AMAZON</t>
        </is>
      </c>
      <c r="B35" s="38" t="inlineStr">
        <is>
          <t>92106</t>
        </is>
      </c>
      <c r="C35" s="77" t="inlineStr">
        <is>
          <t>WS Org Coconut Palm Sugar 6ct-1lb</t>
        </is>
      </c>
      <c r="D35" s="74" t="inlineStr">
        <is>
          <t>C</t>
        </is>
      </c>
      <c r="E35" s="37" t="n">
        <v>31</v>
      </c>
      <c r="F35" s="40" t="inlineStr">
        <is>
          <t>8</t>
        </is>
      </c>
      <c r="G35" s="73" t="inlineStr">
        <is>
          <t>B</t>
        </is>
      </c>
      <c r="H35" s="40" t="n">
        <v>1</v>
      </c>
      <c r="I35" s="45" t="inlineStr">
        <is>
          <t>R31-C08-B-S1</t>
        </is>
      </c>
      <c r="J35" s="78" t="n">
        <v>473</v>
      </c>
      <c r="K35" s="40" t="n">
        <v>35</v>
      </c>
      <c r="L35" s="42" t="n">
        <v>13.5</v>
      </c>
      <c r="M35" s="38" t="n">
        <v>9</v>
      </c>
      <c r="N35" s="79" t="inlineStr">
        <is>
          <t>Level B: second level, efficient forklift reach (~6-12ft)</t>
        </is>
      </c>
    </row>
    <row r="36" ht="15.75" customHeight="1">
      <c r="A36" s="80" t="inlineStr">
        <is>
          <t>AMAZON</t>
        </is>
      </c>
      <c r="B36" s="8" t="inlineStr">
        <is>
          <t>92106</t>
        </is>
      </c>
      <c r="C36" s="69" t="inlineStr">
        <is>
          <t>WS Org Coconut Palm Sugar 6ct-1lb</t>
        </is>
      </c>
      <c r="D36" s="74" t="inlineStr">
        <is>
          <t>C</t>
        </is>
      </c>
      <c r="E36" s="7" t="n">
        <v>31</v>
      </c>
      <c r="F36" s="10" t="inlineStr">
        <is>
          <t>8</t>
        </is>
      </c>
      <c r="G36" s="73" t="inlineStr">
        <is>
          <t>B</t>
        </is>
      </c>
      <c r="H36" s="10" t="n">
        <v>2</v>
      </c>
      <c r="I36" s="16" t="inlineStr">
        <is>
          <t>R31-C08-B-S2</t>
        </is>
      </c>
      <c r="J36" s="70" t="n">
        <v>473</v>
      </c>
      <c r="K36" s="10" t="n">
        <v>35</v>
      </c>
      <c r="L36" s="12" t="n">
        <v>13.5</v>
      </c>
      <c r="M36" s="8" t="n">
        <v>9</v>
      </c>
      <c r="N36" s="71" t="inlineStr">
        <is>
          <t>Level B: second level, efficient forklift reach (~6-12ft)</t>
        </is>
      </c>
    </row>
    <row r="37" ht="15.75" customHeight="1">
      <c r="A37" s="76" t="inlineStr">
        <is>
          <t>AMAZON</t>
        </is>
      </c>
      <c r="B37" s="38" t="inlineStr">
        <is>
          <t>20441</t>
        </is>
      </c>
      <c r="C37" s="77" t="inlineStr">
        <is>
          <t>Organic Blue Agave 6-44 oz</t>
        </is>
      </c>
      <c r="D37" s="74" t="inlineStr">
        <is>
          <t>C</t>
        </is>
      </c>
      <c r="E37" s="37" t="n">
        <v>31</v>
      </c>
      <c r="F37" s="40" t="inlineStr">
        <is>
          <t>9</t>
        </is>
      </c>
      <c r="G37" s="73" t="inlineStr">
        <is>
          <t>B</t>
        </is>
      </c>
      <c r="H37" s="40" t="n">
        <v>1</v>
      </c>
      <c r="I37" s="45" t="inlineStr">
        <is>
          <t>R31-C09-B-S1</t>
        </is>
      </c>
      <c r="J37" s="78" t="n">
        <v>412</v>
      </c>
      <c r="K37" s="40" t="n">
        <v>40</v>
      </c>
      <c r="L37" s="42" t="n">
        <v>10.3</v>
      </c>
      <c r="M37" s="38" t="n">
        <v>10</v>
      </c>
      <c r="N37" s="79" t="inlineStr">
        <is>
          <t>Level B: second level, efficient forklift reach (~6-12ft)</t>
        </is>
      </c>
    </row>
    <row r="38" ht="15.75" customHeight="1">
      <c r="A38" s="80" t="inlineStr">
        <is>
          <t>AMAZON</t>
        </is>
      </c>
      <c r="B38" s="8" t="inlineStr">
        <is>
          <t>20441</t>
        </is>
      </c>
      <c r="C38" s="69" t="inlineStr">
        <is>
          <t>Organic Blue Agave 6-44 oz</t>
        </is>
      </c>
      <c r="D38" s="74" t="inlineStr">
        <is>
          <t>C</t>
        </is>
      </c>
      <c r="E38" s="7" t="n">
        <v>31</v>
      </c>
      <c r="F38" s="10" t="inlineStr">
        <is>
          <t>9</t>
        </is>
      </c>
      <c r="G38" s="73" t="inlineStr">
        <is>
          <t>B</t>
        </is>
      </c>
      <c r="H38" s="10" t="n">
        <v>2</v>
      </c>
      <c r="I38" s="16" t="inlineStr">
        <is>
          <t>R31-C09-B-S2</t>
        </is>
      </c>
      <c r="J38" s="70" t="n">
        <v>412</v>
      </c>
      <c r="K38" s="10" t="n">
        <v>40</v>
      </c>
      <c r="L38" s="12" t="n">
        <v>10.3</v>
      </c>
      <c r="M38" s="8" t="n">
        <v>10</v>
      </c>
      <c r="N38" s="71" t="inlineStr">
        <is>
          <t>Level B: second level, efficient forklift reach (~6-12ft)</t>
        </is>
      </c>
    </row>
    <row r="39" ht="15.75" customHeight="1">
      <c r="A39" s="76" t="inlineStr">
        <is>
          <t>AMAZON</t>
        </is>
      </c>
      <c r="B39" s="38" t="inlineStr">
        <is>
          <t>45026</t>
        </is>
      </c>
      <c r="C39" s="77" t="inlineStr">
        <is>
          <t>WSI FT Organic Sucanat 12ct-2lb</t>
        </is>
      </c>
      <c r="D39" s="74" t="inlineStr">
        <is>
          <t>C</t>
        </is>
      </c>
      <c r="E39" s="37" t="n">
        <v>31</v>
      </c>
      <c r="F39" s="40" t="inlineStr">
        <is>
          <t>10</t>
        </is>
      </c>
      <c r="G39" s="73" t="inlineStr">
        <is>
          <t>B</t>
        </is>
      </c>
      <c r="H39" s="40" t="n">
        <v>1</v>
      </c>
      <c r="I39" s="45" t="inlineStr">
        <is>
          <t>R31-C10-B-S1</t>
        </is>
      </c>
      <c r="J39" s="78" t="n">
        <v>375</v>
      </c>
      <c r="K39" s="40" t="n">
        <v>44</v>
      </c>
      <c r="L39" s="42" t="n">
        <v>8.5</v>
      </c>
      <c r="M39" s="38" t="n">
        <v>11</v>
      </c>
      <c r="N39" s="79" t="inlineStr">
        <is>
          <t>Level B: second level, efficient forklift reach (~6-12ft)</t>
        </is>
      </c>
    </row>
    <row r="40" ht="15.75" customHeight="1">
      <c r="A40" s="80" t="inlineStr">
        <is>
          <t>AMAZON</t>
        </is>
      </c>
      <c r="B40" s="8" t="inlineStr">
        <is>
          <t>45026</t>
        </is>
      </c>
      <c r="C40" s="69" t="inlineStr">
        <is>
          <t>WSI FT Organic Sucanat 12ct-2lb</t>
        </is>
      </c>
      <c r="D40" s="74" t="inlineStr">
        <is>
          <t>C</t>
        </is>
      </c>
      <c r="E40" s="7" t="n">
        <v>31</v>
      </c>
      <c r="F40" s="10" t="inlineStr">
        <is>
          <t>10</t>
        </is>
      </c>
      <c r="G40" s="73" t="inlineStr">
        <is>
          <t>B</t>
        </is>
      </c>
      <c r="H40" s="10" t="n">
        <v>2</v>
      </c>
      <c r="I40" s="16" t="inlineStr">
        <is>
          <t>R31-C10-B-S2</t>
        </is>
      </c>
      <c r="J40" s="70" t="n">
        <v>375</v>
      </c>
      <c r="K40" s="10" t="n">
        <v>44</v>
      </c>
      <c r="L40" s="12" t="n">
        <v>8.5</v>
      </c>
      <c r="M40" s="8" t="n">
        <v>11</v>
      </c>
      <c r="N40" s="71" t="inlineStr">
        <is>
          <t>Level B: second level, efficient forklift reach (~6-12ft)</t>
        </is>
      </c>
    </row>
    <row r="41" ht="15.75" customHeight="1">
      <c r="A41" s="76" t="inlineStr">
        <is>
          <t>AMAZON</t>
        </is>
      </c>
      <c r="B41" s="38" t="inlineStr">
        <is>
          <t>32134</t>
        </is>
      </c>
      <c r="C41" s="77" t="inlineStr">
        <is>
          <t>BLTN Nat Lt Brown Muscovado 10-1lb Ctn</t>
        </is>
      </c>
      <c r="D41" s="74" t="inlineStr">
        <is>
          <t>C</t>
        </is>
      </c>
      <c r="E41" s="37" t="n">
        <v>31</v>
      </c>
      <c r="F41" s="40" t="inlineStr">
        <is>
          <t>11</t>
        </is>
      </c>
      <c r="G41" s="73" t="inlineStr">
        <is>
          <t>B</t>
        </is>
      </c>
      <c r="H41" s="40" t="n">
        <v>1</v>
      </c>
      <c r="I41" s="45" t="inlineStr">
        <is>
          <t>R31-C11-B-S1</t>
        </is>
      </c>
      <c r="J41" s="78" t="n">
        <v>328</v>
      </c>
      <c r="K41" s="40" t="n">
        <v>58</v>
      </c>
      <c r="L41" s="42" t="n">
        <v>5.7</v>
      </c>
      <c r="M41" s="38" t="n">
        <v>12</v>
      </c>
      <c r="N41" s="79" t="inlineStr">
        <is>
          <t>Level B: second level, efficient forklift reach (~6-12ft)</t>
        </is>
      </c>
    </row>
    <row r="42" ht="15.75" customHeight="1">
      <c r="A42" s="80" t="inlineStr">
        <is>
          <t>AMAZON</t>
        </is>
      </c>
      <c r="B42" s="8" t="inlineStr">
        <is>
          <t>32134</t>
        </is>
      </c>
      <c r="C42" s="69" t="inlineStr">
        <is>
          <t>BLTN Nat Lt Brown Muscovado 10-1lb Ctn</t>
        </is>
      </c>
      <c r="D42" s="74" t="inlineStr">
        <is>
          <t>C</t>
        </is>
      </c>
      <c r="E42" s="7" t="n">
        <v>31</v>
      </c>
      <c r="F42" s="10" t="inlineStr">
        <is>
          <t>11</t>
        </is>
      </c>
      <c r="G42" s="73" t="inlineStr">
        <is>
          <t>B</t>
        </is>
      </c>
      <c r="H42" s="10" t="n">
        <v>2</v>
      </c>
      <c r="I42" s="16" t="inlineStr">
        <is>
          <t>R31-C11-B-S2</t>
        </is>
      </c>
      <c r="J42" s="70" t="n">
        <v>328</v>
      </c>
      <c r="K42" s="10" t="n">
        <v>58</v>
      </c>
      <c r="L42" s="12" t="n">
        <v>5.7</v>
      </c>
      <c r="M42" s="8" t="n">
        <v>12</v>
      </c>
      <c r="N42" s="71" t="inlineStr">
        <is>
          <t>Level B: second level, efficient forklift reach (~6-12ft)</t>
        </is>
      </c>
    </row>
    <row r="43" ht="15.75" customHeight="1">
      <c r="A43" s="76" t="inlineStr">
        <is>
          <t>AMAZON</t>
        </is>
      </c>
      <c r="B43" s="38" t="inlineStr">
        <is>
          <t>45036</t>
        </is>
      </c>
      <c r="C43" s="77" t="inlineStr">
        <is>
          <t>WSI Organic Sugar 6ct-2lb</t>
        </is>
      </c>
      <c r="D43" s="74" t="inlineStr">
        <is>
          <t>C</t>
        </is>
      </c>
      <c r="E43" s="37" t="n">
        <v>31</v>
      </c>
      <c r="F43" s="40" t="inlineStr">
        <is>
          <t>12</t>
        </is>
      </c>
      <c r="G43" s="75" t="inlineStr">
        <is>
          <t>C</t>
        </is>
      </c>
      <c r="H43" s="40" t="n">
        <v>1</v>
      </c>
      <c r="I43" s="45" t="inlineStr">
        <is>
          <t>R31-C12-C-S1</t>
        </is>
      </c>
      <c r="J43" s="78" t="n">
        <v>235</v>
      </c>
      <c r="K43" s="40" t="n">
        <v>43</v>
      </c>
      <c r="L43" s="42" t="n">
        <v>5.5</v>
      </c>
      <c r="M43" s="38" t="n">
        <v>13</v>
      </c>
      <c r="N43" s="79" t="inlineStr">
        <is>
          <t>Level C: mid-rack, moderate forklift reach (~12-18ft)</t>
        </is>
      </c>
    </row>
    <row r="44" ht="15.75" customHeight="1">
      <c r="A44" s="80" t="inlineStr">
        <is>
          <t>AMAZON</t>
        </is>
      </c>
      <c r="B44" s="8" t="inlineStr">
        <is>
          <t>45036</t>
        </is>
      </c>
      <c r="C44" s="69" t="inlineStr">
        <is>
          <t>WSI Organic Sugar 6ct-2lb</t>
        </is>
      </c>
      <c r="D44" s="74" t="inlineStr">
        <is>
          <t>C</t>
        </is>
      </c>
      <c r="E44" s="7" t="n">
        <v>31</v>
      </c>
      <c r="F44" s="10" t="inlineStr">
        <is>
          <t>12</t>
        </is>
      </c>
      <c r="G44" s="75" t="inlineStr">
        <is>
          <t>C</t>
        </is>
      </c>
      <c r="H44" s="10" t="n">
        <v>2</v>
      </c>
      <c r="I44" s="16" t="inlineStr">
        <is>
          <t>R31-C12-C-S2</t>
        </is>
      </c>
      <c r="J44" s="70" t="n">
        <v>235</v>
      </c>
      <c r="K44" s="10" t="n">
        <v>43</v>
      </c>
      <c r="L44" s="12" t="n">
        <v>5.5</v>
      </c>
      <c r="M44" s="8" t="n">
        <v>13</v>
      </c>
      <c r="N44" s="71" t="inlineStr">
        <is>
          <t>Level C: mid-rack, moderate forklift reach (~12-18ft)</t>
        </is>
      </c>
    </row>
    <row r="45" ht="15.75" customHeight="1">
      <c r="A45" s="76" t="inlineStr">
        <is>
          <t>AMAZON</t>
        </is>
      </c>
      <c r="B45" s="38" t="inlineStr">
        <is>
          <t>32139</t>
        </is>
      </c>
      <c r="C45" s="77" t="inlineStr">
        <is>
          <t>BLTN Nat Demerara 10-1lb Ct</t>
        </is>
      </c>
      <c r="D45" s="74" t="inlineStr">
        <is>
          <t>C</t>
        </is>
      </c>
      <c r="E45" s="37" t="n">
        <v>31</v>
      </c>
      <c r="F45" s="40" t="inlineStr">
        <is>
          <t>13</t>
        </is>
      </c>
      <c r="G45" s="75" t="inlineStr">
        <is>
          <t>C</t>
        </is>
      </c>
      <c r="H45" s="40" t="n">
        <v>1</v>
      </c>
      <c r="I45" s="45" t="inlineStr">
        <is>
          <t>R31-C13-C-S1</t>
        </is>
      </c>
      <c r="J45" s="78" t="n">
        <v>235</v>
      </c>
      <c r="K45" s="40" t="n">
        <v>38</v>
      </c>
      <c r="L45" s="42" t="n">
        <v>6.2</v>
      </c>
      <c r="M45" s="38" t="n">
        <v>14</v>
      </c>
      <c r="N45" s="79" t="inlineStr">
        <is>
          <t>Level C: mid-rack, moderate forklift reach (~12-18ft)</t>
        </is>
      </c>
    </row>
    <row r="46" ht="15.75" customHeight="1">
      <c r="A46" s="80" t="inlineStr">
        <is>
          <t>AMAZON</t>
        </is>
      </c>
      <c r="B46" s="8" t="inlineStr">
        <is>
          <t>32139</t>
        </is>
      </c>
      <c r="C46" s="69" t="inlineStr">
        <is>
          <t>BLTN Nat Demerara 10-1lb Ct</t>
        </is>
      </c>
      <c r="D46" s="74" t="inlineStr">
        <is>
          <t>C</t>
        </is>
      </c>
      <c r="E46" s="7" t="n">
        <v>31</v>
      </c>
      <c r="F46" s="10" t="inlineStr">
        <is>
          <t>13</t>
        </is>
      </c>
      <c r="G46" s="75" t="inlineStr">
        <is>
          <t>C</t>
        </is>
      </c>
      <c r="H46" s="10" t="n">
        <v>2</v>
      </c>
      <c r="I46" s="16" t="inlineStr">
        <is>
          <t>R31-C13-C-S2</t>
        </is>
      </c>
      <c r="J46" s="70" t="n">
        <v>235</v>
      </c>
      <c r="K46" s="10" t="n">
        <v>38</v>
      </c>
      <c r="L46" s="12" t="n">
        <v>6.2</v>
      </c>
      <c r="M46" s="8" t="n">
        <v>14</v>
      </c>
      <c r="N46" s="71" t="inlineStr">
        <is>
          <t>Level C: mid-rack, moderate forklift reach (~12-18ft)</t>
        </is>
      </c>
    </row>
    <row r="47" ht="15.75" customHeight="1">
      <c r="A47" s="76" t="inlineStr">
        <is>
          <t>AMAZON</t>
        </is>
      </c>
      <c r="B47" s="38" t="inlineStr">
        <is>
          <t>20231</t>
        </is>
      </c>
      <c r="C47" s="77" t="inlineStr">
        <is>
          <t>W Organic Blue Agave, 6/23.5oz</t>
        </is>
      </c>
      <c r="D47" s="74" t="inlineStr">
        <is>
          <t>C</t>
        </is>
      </c>
      <c r="E47" s="37" t="n">
        <v>31</v>
      </c>
      <c r="F47" s="40" t="inlineStr">
        <is>
          <t>14</t>
        </is>
      </c>
      <c r="G47" s="75" t="inlineStr">
        <is>
          <t>C</t>
        </is>
      </c>
      <c r="H47" s="40" t="n">
        <v>1</v>
      </c>
      <c r="I47" s="45" t="inlineStr">
        <is>
          <t>R31-C14-C-S1</t>
        </is>
      </c>
      <c r="J47" s="78" t="n">
        <v>217</v>
      </c>
      <c r="K47" s="40" t="n">
        <v>35</v>
      </c>
      <c r="L47" s="42" t="n">
        <v>6.2</v>
      </c>
      <c r="M47" s="38" t="n">
        <v>15</v>
      </c>
      <c r="N47" s="79" t="inlineStr">
        <is>
          <t>Level C: mid-rack, moderate forklift reach (~12-18ft)</t>
        </is>
      </c>
    </row>
    <row r="48" ht="15.75" customHeight="1">
      <c r="A48" s="80" t="inlineStr">
        <is>
          <t>AMAZON</t>
        </is>
      </c>
      <c r="B48" s="8" t="inlineStr">
        <is>
          <t>20231</t>
        </is>
      </c>
      <c r="C48" s="69" t="inlineStr">
        <is>
          <t>W Organic Blue Agave, 6/23.5oz</t>
        </is>
      </c>
      <c r="D48" s="74" t="inlineStr">
        <is>
          <t>C</t>
        </is>
      </c>
      <c r="E48" s="7" t="n">
        <v>31</v>
      </c>
      <c r="F48" s="10" t="inlineStr">
        <is>
          <t>14</t>
        </is>
      </c>
      <c r="G48" s="75" t="inlineStr">
        <is>
          <t>C</t>
        </is>
      </c>
      <c r="H48" s="10" t="n">
        <v>2</v>
      </c>
      <c r="I48" s="16" t="inlineStr">
        <is>
          <t>R31-C14-C-S2</t>
        </is>
      </c>
      <c r="J48" s="70" t="n">
        <v>217</v>
      </c>
      <c r="K48" s="10" t="n">
        <v>35</v>
      </c>
      <c r="L48" s="12" t="n">
        <v>6.2</v>
      </c>
      <c r="M48" s="8" t="n">
        <v>15</v>
      </c>
      <c r="N48" s="71" t="inlineStr">
        <is>
          <t>Level C: mid-rack, moderate forklift reach (~12-18ft)</t>
        </is>
      </c>
    </row>
    <row r="49" ht="15.75" customHeight="1"/>
    <row r="50" ht="22" customHeight="1">
      <c r="A50" s="287" t="inlineStr">
        <is>
          <t>UNASSIGNED — Top-25 in scope, no physical cell (reserved for growth)</t>
        </is>
      </c>
    </row>
    <row r="51" ht="28" customHeight="1">
      <c r="A51" s="288" t="inlineStr">
        <is>
          <t>Rank</t>
        </is>
      </c>
      <c r="B51" s="288" t="inlineStr">
        <is>
          <t>Item #</t>
        </is>
      </c>
      <c r="C51" s="288" t="inlineStr">
        <is>
          <t>Customer</t>
        </is>
      </c>
      <c r="D51" s="288" t="inlineStr">
        <is>
          <t>Product Description</t>
        </is>
      </c>
      <c r="E51" s="288" t="inlineStr">
        <is>
          <t>ABC</t>
        </is>
      </c>
      <c r="F51" s="288" t="inlineStr">
        <is>
          <t>Status</t>
        </is>
      </c>
      <c r="G51" s="288" t="inlineStr"/>
      <c r="H51" s="288" t="inlineStr"/>
      <c r="I51" s="288" t="inlineStr">
        <is>
          <t>Cell Address</t>
        </is>
      </c>
      <c r="J51" s="288" t="inlineStr">
        <is>
          <t>Total Cases</t>
        </is>
      </c>
      <c r="K51" s="288" t="inlineStr">
        <is>
          <t># Orders</t>
        </is>
      </c>
    </row>
    <row r="52" ht="15.75" customHeight="1">
      <c r="A52" s="289" t="n">
        <v>16</v>
      </c>
      <c r="B52" s="290" t="inlineStr">
        <is>
          <t>45641</t>
        </is>
      </c>
      <c r="C52" s="291" t="inlineStr">
        <is>
          <t>AMAZON</t>
        </is>
      </c>
      <c r="D52" s="292" t="inlineStr">
        <is>
          <t>WS Regen FT Org Light Brown Sugar, 6ct-4lb</t>
        </is>
      </c>
      <c r="E52" s="289" t="inlineStr">
        <is>
          <t>C</t>
        </is>
      </c>
      <c r="F52" s="293" t="inlineStr">
        <is>
          <t>UNASSIGNED</t>
        </is>
      </c>
      <c r="G52" s="294" t="n"/>
      <c r="H52" s="295" t="n"/>
      <c r="I52" s="296" t="inlineStr">
        <is>
          <t>—</t>
        </is>
      </c>
      <c r="J52" s="297" t="n">
        <v>172</v>
      </c>
      <c r="K52" s="291" t="n">
        <v>27</v>
      </c>
    </row>
    <row r="53" ht="15.75" customHeight="1">
      <c r="A53" s="289" t="n">
        <v>17</v>
      </c>
      <c r="B53" s="290" t="inlineStr">
        <is>
          <t>94660</t>
        </is>
      </c>
      <c r="C53" s="291" t="inlineStr">
        <is>
          <t>AMAZON</t>
        </is>
      </c>
      <c r="D53" s="292" t="inlineStr">
        <is>
          <t>Wholesome Organic Stevia 6x6oz Jar</t>
        </is>
      </c>
      <c r="E53" s="289" t="inlineStr">
        <is>
          <t>C</t>
        </is>
      </c>
      <c r="F53" s="293" t="inlineStr">
        <is>
          <t>UNASSIGNED</t>
        </is>
      </c>
      <c r="G53" s="294" t="n"/>
      <c r="H53" s="295" t="n"/>
      <c r="I53" s="296" t="inlineStr">
        <is>
          <t>—</t>
        </is>
      </c>
      <c r="J53" s="297" t="n">
        <v>169</v>
      </c>
      <c r="K53" s="291" t="n">
        <v>35</v>
      </c>
    </row>
    <row r="54" ht="15.75" customHeight="1">
      <c r="A54" s="289" t="n">
        <v>18</v>
      </c>
      <c r="B54" s="290" t="inlineStr">
        <is>
          <t>32137</t>
        </is>
      </c>
      <c r="C54" s="291" t="inlineStr">
        <is>
          <t>AMAZON</t>
        </is>
      </c>
      <c r="D54" s="292" t="inlineStr">
        <is>
          <t>BLTN Nat Dk Brn Molasses Sugar 10-1lb Ctn</t>
        </is>
      </c>
      <c r="E54" s="289" t="inlineStr">
        <is>
          <t>C</t>
        </is>
      </c>
      <c r="F54" s="293" t="inlineStr">
        <is>
          <t>UNASSIGNED</t>
        </is>
      </c>
      <c r="G54" s="294" t="n"/>
      <c r="H54" s="295" t="n"/>
      <c r="I54" s="296" t="inlineStr">
        <is>
          <t>—</t>
        </is>
      </c>
      <c r="J54" s="297" t="n">
        <v>166</v>
      </c>
      <c r="K54" s="291" t="n">
        <v>47</v>
      </c>
    </row>
    <row r="55" ht="15.75" customHeight="1">
      <c r="A55" s="289" t="n">
        <v>19</v>
      </c>
      <c r="B55" s="290" t="inlineStr">
        <is>
          <t>89416</t>
        </is>
      </c>
      <c r="C55" s="291" t="inlineStr">
        <is>
          <t>AMAZON</t>
        </is>
      </c>
      <c r="D55" s="292" t="inlineStr">
        <is>
          <t>W! FT Org Raw Unfiltered Honey 6-16oz Sqz</t>
        </is>
      </c>
      <c r="E55" s="289" t="inlineStr">
        <is>
          <t>C</t>
        </is>
      </c>
      <c r="F55" s="293" t="inlineStr">
        <is>
          <t>UNASSIGNED</t>
        </is>
      </c>
      <c r="G55" s="294" t="n"/>
      <c r="H55" s="295" t="n"/>
      <c r="I55" s="296" t="inlineStr">
        <is>
          <t>—</t>
        </is>
      </c>
      <c r="J55" s="297" t="n">
        <v>157</v>
      </c>
      <c r="K55" s="291" t="n">
        <v>32</v>
      </c>
    </row>
    <row r="56" ht="15.75" customHeight="1">
      <c r="A56" s="289" t="n">
        <v>20</v>
      </c>
      <c r="B56" s="290" t="inlineStr">
        <is>
          <t>21442</t>
        </is>
      </c>
      <c r="C56" s="291" t="inlineStr">
        <is>
          <t>AMAZON</t>
        </is>
      </c>
      <c r="D56" s="292" t="inlineStr">
        <is>
          <t>W! Organic Raw Agave 6-44 oz</t>
        </is>
      </c>
      <c r="E56" s="289" t="inlineStr">
        <is>
          <t>C</t>
        </is>
      </c>
      <c r="F56" s="293" t="inlineStr">
        <is>
          <t>UNASSIGNED</t>
        </is>
      </c>
      <c r="G56" s="294" t="n"/>
      <c r="H56" s="295" t="n"/>
      <c r="I56" s="296" t="inlineStr">
        <is>
          <t>—</t>
        </is>
      </c>
      <c r="J56" s="297" t="n">
        <v>147</v>
      </c>
      <c r="K56" s="291" t="n">
        <v>38</v>
      </c>
    </row>
    <row r="57" ht="15.75" customHeight="1">
      <c r="A57" s="289" t="n">
        <v>21</v>
      </c>
      <c r="B57" s="290" t="inlineStr">
        <is>
          <t>44471</t>
        </is>
      </c>
      <c r="C57" s="291" t="inlineStr">
        <is>
          <t>AMAZON</t>
        </is>
      </c>
      <c r="D57" s="292" t="inlineStr">
        <is>
          <t>WS FT Organic Raw Turb 12-1.5lb</t>
        </is>
      </c>
      <c r="E57" s="289" t="inlineStr">
        <is>
          <t>C</t>
        </is>
      </c>
      <c r="F57" s="293" t="inlineStr">
        <is>
          <t>UNASSIGNED</t>
        </is>
      </c>
      <c r="G57" s="294" t="n"/>
      <c r="H57" s="295" t="n"/>
      <c r="I57" s="296" t="inlineStr">
        <is>
          <t>—</t>
        </is>
      </c>
      <c r="J57" s="297" t="n">
        <v>124</v>
      </c>
      <c r="K57" s="291" t="n">
        <v>38</v>
      </c>
    </row>
    <row r="58" ht="15.75" customHeight="1">
      <c r="A58" s="289" t="n">
        <v>22</v>
      </c>
      <c r="B58" s="290" t="inlineStr">
        <is>
          <t>30010</t>
        </is>
      </c>
      <c r="C58" s="291" t="inlineStr">
        <is>
          <t>AMAZON</t>
        </is>
      </c>
      <c r="D58" s="292" t="inlineStr">
        <is>
          <t>W Org Corn Syrup 6-11.75oz</t>
        </is>
      </c>
      <c r="E58" s="289" t="inlineStr">
        <is>
          <t>C</t>
        </is>
      </c>
      <c r="F58" s="293" t="inlineStr">
        <is>
          <t>UNASSIGNED</t>
        </is>
      </c>
      <c r="G58" s="294" t="n"/>
      <c r="H58" s="295" t="n"/>
      <c r="I58" s="296" t="inlineStr">
        <is>
          <t>—</t>
        </is>
      </c>
      <c r="J58" s="297" t="n">
        <v>108</v>
      </c>
      <c r="K58" s="291" t="n">
        <v>47</v>
      </c>
    </row>
    <row r="59" ht="15.75" customHeight="1">
      <c r="A59" s="289" t="n">
        <v>23</v>
      </c>
      <c r="B59" s="290" t="inlineStr">
        <is>
          <t>89167</t>
        </is>
      </c>
      <c r="C59" s="291" t="inlineStr">
        <is>
          <t>AMAZON</t>
        </is>
      </c>
      <c r="D59" s="292" t="inlineStr">
        <is>
          <t>WS FT Org Honey 6-16oz Sqz Btl</t>
        </is>
      </c>
      <c r="E59" s="289" t="inlineStr">
        <is>
          <t>C</t>
        </is>
      </c>
      <c r="F59" s="293" t="inlineStr">
        <is>
          <t>UNASSIGNED</t>
        </is>
      </c>
      <c r="G59" s="294" t="n"/>
      <c r="H59" s="295" t="n"/>
      <c r="I59" s="296" t="inlineStr">
        <is>
          <t>—</t>
        </is>
      </c>
      <c r="J59" s="297" t="n">
        <v>97</v>
      </c>
      <c r="K59" s="291" t="n">
        <v>22</v>
      </c>
    </row>
    <row r="60" ht="15.75" customHeight="1">
      <c r="A60" s="289" t="n">
        <v>24</v>
      </c>
      <c r="B60" s="290" t="inlineStr">
        <is>
          <t>89247</t>
        </is>
      </c>
      <c r="C60" s="291" t="inlineStr">
        <is>
          <t>AMAZON</t>
        </is>
      </c>
      <c r="D60" s="292" t="inlineStr">
        <is>
          <t>W! FT Org Honey 6-24oz Sqz Btl</t>
        </is>
      </c>
      <c r="E60" s="289" t="inlineStr">
        <is>
          <t>C</t>
        </is>
      </c>
      <c r="F60" s="293" t="inlineStr">
        <is>
          <t>UNASSIGNED</t>
        </is>
      </c>
      <c r="G60" s="294" t="n"/>
      <c r="H60" s="295" t="n"/>
      <c r="I60" s="296" t="inlineStr">
        <is>
          <t>—</t>
        </is>
      </c>
      <c r="J60" s="297" t="n">
        <v>92</v>
      </c>
      <c r="K60" s="291" t="n">
        <v>31</v>
      </c>
    </row>
    <row r="61" ht="15.75" customHeight="1">
      <c r="A61" s="289" t="n">
        <v>25</v>
      </c>
      <c r="B61" s="290" t="inlineStr">
        <is>
          <t>89168</t>
        </is>
      </c>
      <c r="C61" s="291" t="inlineStr">
        <is>
          <t>AMAZON</t>
        </is>
      </c>
      <c r="D61" s="292" t="inlineStr">
        <is>
          <t>W Org White Honey 16oz</t>
        </is>
      </c>
      <c r="E61" s="289" t="inlineStr">
        <is>
          <t>C</t>
        </is>
      </c>
      <c r="F61" s="293" t="inlineStr">
        <is>
          <t>UNASSIGNED</t>
        </is>
      </c>
      <c r="G61" s="294" t="n"/>
      <c r="H61" s="295" t="n"/>
      <c r="I61" s="296" t="inlineStr">
        <is>
          <t>—</t>
        </is>
      </c>
      <c r="J61" s="297" t="n">
        <v>80</v>
      </c>
      <c r="K61" s="291" t="n">
        <v>32</v>
      </c>
    </row>
    <row r="62" ht="15.75" customHeight="1"/>
    <row r="63" ht="15.75" customHeight="1"/>
    <row r="64" ht="22" customHeight="1">
      <c r="A64" s="298" t="inlineStr">
        <is>
          <t>CAPACITY UTILIZATION SUMMARY</t>
        </is>
      </c>
    </row>
    <row r="65" ht="15.75" customHeight="1">
      <c r="A65" s="299" t="inlineStr">
        <is>
          <t>Target slots assigned</t>
        </is>
      </c>
      <c r="E65" s="300" t="n">
        <v>14</v>
      </c>
      <c r="F65" s="301" t="inlineStr">
        <is>
          <t>Target: 7 SKUs × 2 slots/SKU = 14 slots</t>
        </is>
      </c>
    </row>
    <row r="66" ht="15.75" customHeight="1">
      <c r="A66" s="299" t="inlineStr">
        <is>
          <t>Amazon slots assigned (top 15)</t>
        </is>
      </c>
      <c r="E66" s="300" t="n">
        <v>30</v>
      </c>
      <c r="F66" s="301" t="inlineStr">
        <is>
          <t>Amazon: 15 SKUs × 2 slots/SKU = 30 slots</t>
        </is>
      </c>
    </row>
    <row r="67" ht="15.75" customHeight="1">
      <c r="A67" s="299" t="inlineStr">
        <is>
          <t>Total assigned slots</t>
        </is>
      </c>
      <c r="E67" s="300" t="n">
        <v>44</v>
      </c>
      <c r="F67" s="301" t="inlineStr">
        <is>
          <t>Sum of Target + Amazon assigned</t>
        </is>
      </c>
    </row>
    <row r="68" ht="15.75" customHeight="1">
      <c r="A68" s="299" t="inlineStr">
        <is>
          <t>Total rack capacity (R30 + R31)</t>
        </is>
      </c>
      <c r="E68" s="300" t="n">
        <v>256</v>
      </c>
      <c r="F68" s="301" t="inlineStr">
        <is>
          <t>16 cols × 4 levels × 2 pallets × 2 racks</t>
        </is>
      </c>
    </row>
    <row r="69">
      <c r="A69" s="299" t="inlineStr">
        <is>
          <t>Utilization %</t>
        </is>
      </c>
      <c r="E69" s="302" t="inlineStr">
        <is>
          <t>17.2%</t>
        </is>
      </c>
      <c r="F69" s="301" t="inlineStr">
        <is>
          <t>Assigned ÷ Total capacity</t>
        </is>
      </c>
    </row>
    <row r="70">
      <c r="A70" s="299" t="inlineStr">
        <is>
          <t>Reserved capacity (FLEX / overflow / growth)</t>
        </is>
      </c>
      <c r="E70" s="300" t="n">
        <v>212</v>
      </c>
      <c r="F70" s="301" t="inlineStr">
        <is>
          <t>Available for demand growth and overflow</t>
        </is>
      </c>
    </row>
  </sheetData>
  <mergeCells count="26">
    <mergeCell ref="A64:K64"/>
    <mergeCell ref="F70:K70"/>
    <mergeCell ref="F66:K66"/>
    <mergeCell ref="A68:D68"/>
    <mergeCell ref="A1:N1"/>
    <mergeCell ref="A67:D67"/>
    <mergeCell ref="F56:H56"/>
    <mergeCell ref="F58:H58"/>
    <mergeCell ref="F67:K67"/>
    <mergeCell ref="F52:H52"/>
    <mergeCell ref="F61:H61"/>
    <mergeCell ref="A70:D70"/>
    <mergeCell ref="A50:K50"/>
    <mergeCell ref="F60:H60"/>
    <mergeCell ref="A69:D69"/>
    <mergeCell ref="A2:N2"/>
    <mergeCell ref="F57:H57"/>
    <mergeCell ref="A65:D65"/>
    <mergeCell ref="F53:H53"/>
    <mergeCell ref="F69:K69"/>
    <mergeCell ref="A66:D66"/>
    <mergeCell ref="F54:H54"/>
    <mergeCell ref="F65:K65"/>
    <mergeCell ref="F68:K68"/>
    <mergeCell ref="F59:H59"/>
    <mergeCell ref="F55:H55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tabSelected="1" topLeftCell="A12" zoomScale="83" zoomScaleNormal="83" workbookViewId="0">
      <selection activeCell="A27" sqref="A27:N27"/>
    </sheetView>
  </sheetViews>
  <sheetFormatPr baseColWidth="8" defaultColWidth="8.42578125" defaultRowHeight="14.45"/>
  <cols>
    <col width="16" customWidth="1" min="1" max="1"/>
    <col width="22" customWidth="1" min="2" max="3"/>
    <col width="24" customWidth="1" min="4" max="4"/>
    <col width="40" customWidth="1" min="5" max="5"/>
    <col width="16" customWidth="1" min="7" max="14"/>
  </cols>
  <sheetData>
    <row r="1" ht="33.75" customHeight="1">
      <c r="A1" s="229" t="inlineStr">
        <is>
          <t>Warehouse Design Dashboard — Racks 30 &amp; 31 | Cadeco Sugar | Forklift Operations</t>
        </is>
      </c>
    </row>
    <row r="3" ht="7.5" customHeight="1"/>
    <row r="4" ht="21.75" customHeight="1">
      <c r="A4" s="230" t="inlineStr">
        <is>
          <t>RACK LAYOUT PARAMETERS</t>
        </is>
      </c>
    </row>
    <row r="5" ht="19.5" customHeight="1">
      <c r="A5" s="231" t="inlineStr">
        <is>
          <t>Total Pallet Spaces
(Racks 30+31, locked decision)</t>
        </is>
      </c>
      <c r="B5" s="284" t="n"/>
      <c r="C5" s="231" t="inlineStr">
        <is>
          <t>Rack 30 Spaces
(16 cols × 4 levels × 2 pallets)</t>
        </is>
      </c>
      <c r="D5" s="284" t="n"/>
      <c r="E5" s="231" t="inlineStr">
        <is>
          <t>Rack 31 Spaces
(16 cols × 4 levels × 2 pallets)</t>
        </is>
      </c>
      <c r="F5" s="284" t="n"/>
      <c r="G5" s="231" t="inlineStr">
        <is>
          <t>Utilization
(see Cell Assignment Matrix)</t>
        </is>
      </c>
      <c r="H5" s="284" t="n"/>
      <c r="I5" s="231" t="inlineStr">
        <is>
          <t>Pallets per Cell</t>
        </is>
      </c>
      <c r="J5" s="284" t="n"/>
      <c r="K5" s="231" t="inlineStr">
        <is>
          <t>Operation
Type</t>
        </is>
      </c>
      <c r="L5" s="284" t="n"/>
    </row>
    <row r="6" ht="36" customHeight="1">
      <c r="A6" s="235" t="n">
        <v>256</v>
      </c>
      <c r="B6" s="284" t="n"/>
      <c r="C6" s="236" t="inlineStr">
        <is>
          <t>128</t>
        </is>
      </c>
      <c r="D6" s="284" t="n"/>
      <c r="E6" s="236" t="inlineStr">
        <is>
          <t>128</t>
        </is>
      </c>
      <c r="F6" s="284" t="n"/>
      <c r="G6" s="303" t="inlineStr">
        <is>
          <t>17.2% (44 of 256)</t>
        </is>
      </c>
      <c r="H6" s="284" t="n"/>
      <c r="I6" s="237" t="inlineStr">
        <is>
          <t>2</t>
        </is>
      </c>
      <c r="J6" s="284" t="n"/>
      <c r="K6" s="232" t="inlineStr">
        <is>
          <t>Forklift</t>
        </is>
      </c>
      <c r="L6" s="284" t="n"/>
    </row>
    <row r="8" ht="7.5" customHeight="1"/>
    <row r="9" ht="21.75" customHeight="1">
      <c r="A9" s="282" t="inlineStr">
        <is>
          <t xml:space="preserve">                                                                                        FORKLIFT LEVEL PRIORITY GUIDE</t>
        </is>
      </c>
    </row>
    <row r="10" ht="21.75" customHeight="1">
      <c r="A10" s="61" t="inlineStr">
        <is>
          <t>Level</t>
        </is>
      </c>
      <c r="B10" s="61" t="inlineStr">
        <is>
          <t>Height Range</t>
        </is>
      </c>
      <c r="C10" s="61" t="inlineStr">
        <is>
          <t>Position</t>
        </is>
      </c>
      <c r="D10" s="61" t="inlineStr">
        <is>
          <t>Forklift Priority</t>
        </is>
      </c>
      <c r="E10" s="61" t="inlineStr">
        <is>
          <t>Use Case</t>
        </is>
      </c>
    </row>
    <row r="11" ht="24" customHeight="1">
      <c r="A11" s="15" t="inlineStr">
        <is>
          <t>Level A</t>
        </is>
      </c>
      <c r="B11" s="81" t="inlineStr">
        <is>
          <t>0 – 6 ft</t>
        </is>
      </c>
      <c r="C11" s="81" t="inlineStr">
        <is>
          <t>Ground level</t>
        </is>
      </c>
      <c r="D11" s="82" t="inlineStr">
        <is>
          <t>HIGHEST — immediate access, no lift needed</t>
        </is>
      </c>
      <c r="E11" s="83" t="inlineStr">
        <is>
          <t>Top velocity SKUs, most frequent picks</t>
        </is>
      </c>
    </row>
    <row r="12" ht="24" customHeight="1">
      <c r="A12" s="26" t="inlineStr">
        <is>
          <t>Level B</t>
        </is>
      </c>
      <c r="B12" s="84" t="inlineStr">
        <is>
          <t>6 – 12 ft</t>
        </is>
      </c>
      <c r="C12" s="84" t="inlineStr">
        <is>
          <t>Second level</t>
        </is>
      </c>
      <c r="D12" s="85" t="inlineStr">
        <is>
          <t>HIGH — minimal lift, quick cycle time</t>
        </is>
      </c>
      <c r="E12" s="86" t="inlineStr">
        <is>
          <t>High velocity SKUs, daily replenishment</t>
        </is>
      </c>
    </row>
    <row r="13" ht="24" customHeight="1">
      <c r="A13" s="30" t="inlineStr">
        <is>
          <t>Level C</t>
        </is>
      </c>
      <c r="B13" s="87" t="inlineStr">
        <is>
          <t>12 – 18 ft</t>
        </is>
      </c>
      <c r="C13" s="87" t="inlineStr">
        <is>
          <t>Third level</t>
        </is>
      </c>
      <c r="D13" s="88" t="inlineStr">
        <is>
          <t>MEDIUM — moderate lift required</t>
        </is>
      </c>
      <c r="E13" s="89" t="inlineStr">
        <is>
          <t>Medium velocity, weekly replenishment</t>
        </is>
      </c>
    </row>
    <row r="14" ht="24" customHeight="1">
      <c r="A14" s="90" t="inlineStr">
        <is>
          <t>Level D</t>
        </is>
      </c>
      <c r="B14" s="21" t="inlineStr">
        <is>
          <t>18 – 24 ft</t>
        </is>
      </c>
      <c r="C14" s="21" t="inlineStr">
        <is>
          <t>Top level</t>
        </is>
      </c>
      <c r="D14" s="91" t="inlineStr">
        <is>
          <t>LOWEST — maximum lift, slowest cycle</t>
        </is>
      </c>
      <c r="E14" s="92" t="inlineStr">
        <is>
          <t>Low velocity, bulk reserve storage</t>
        </is>
      </c>
    </row>
    <row r="16" ht="7.5" customHeight="1"/>
    <row r="17" ht="21.75" customHeight="1">
      <c r="A17" s="233" t="inlineStr">
        <is>
          <t>TARGET — ORDER SUMMARY</t>
        </is>
      </c>
    </row>
    <row r="18" ht="19.5" customHeight="1">
      <c r="A18" s="234" t="inlineStr">
        <is>
          <t>Active SKUs</t>
        </is>
      </c>
      <c r="B18" s="284" t="n"/>
      <c r="C18" s="234" t="inlineStr">
        <is>
          <t>Total Cases
Shipped</t>
        </is>
      </c>
      <c r="D18" s="284" t="n"/>
      <c r="E18" s="234" t="inlineStr">
        <is>
          <t>Total Orders</t>
        </is>
      </c>
      <c r="F18" s="284" t="n"/>
      <c r="G18" s="304" t="inlineStr">
        <is>
          <t>SCOPE NOTE</t>
        </is>
      </c>
      <c r="H18" s="284" t="n"/>
      <c r="I18" s="234" t="inlineStr">
        <is>
          <t>A-Class
SKUs</t>
        </is>
      </c>
      <c r="J18" s="284" t="n"/>
      <c r="K18" s="234" t="inlineStr">
        <is>
          <t>B/C-Class
SKUs</t>
        </is>
      </c>
      <c r="L18" s="284" t="n"/>
    </row>
    <row r="19" ht="60" customHeight="1">
      <c r="A19" s="241" t="inlineStr">
        <is>
          <t>7</t>
        </is>
      </c>
      <c r="B19" s="284" t="n"/>
      <c r="C19" s="241" t="inlineStr">
        <is>
          <t>34,604</t>
        </is>
      </c>
      <c r="D19" s="284" t="n"/>
      <c r="E19" s="241" t="inlineStr">
        <is>
          <t>1,221</t>
        </is>
      </c>
      <c r="F19" s="284" t="n"/>
      <c r="G19" s="305" t="inlineStr">
        <is>
          <t>Numbers in this file scoped to original
Dec 2024–Sep 2025 dataset. For
refresh-aligned figures, see main
Cadeco_Dashboard_v3.</t>
        </is>
      </c>
      <c r="H19" s="284" t="n"/>
      <c r="I19" s="243" t="inlineStr">
        <is>
          <t>1 SKU
→ Rack 30 Level A</t>
        </is>
      </c>
      <c r="J19" s="284" t="n"/>
      <c r="K19" s="238" t="inlineStr">
        <is>
          <t>6 SKUs
→ Levels B/C</t>
        </is>
      </c>
      <c r="L19" s="284" t="n"/>
    </row>
    <row r="21" ht="7.5" customHeight="1"/>
    <row r="22" ht="21.75" customHeight="1">
      <c r="A22" s="239" t="inlineStr">
        <is>
          <t>AMAZON — ORDER SUMMARY</t>
        </is>
      </c>
    </row>
    <row r="23" ht="19.5" customHeight="1">
      <c r="A23" s="240" t="inlineStr">
        <is>
          <t>Active SKUs</t>
        </is>
      </c>
      <c r="B23" s="284" t="n"/>
      <c r="C23" s="240" t="inlineStr">
        <is>
          <t>Total Cases
Shipped</t>
        </is>
      </c>
      <c r="D23" s="284" t="n"/>
      <c r="E23" s="240" t="inlineStr">
        <is>
          <t>Total Orders</t>
        </is>
      </c>
      <c r="F23" s="284" t="n"/>
      <c r="G23" s="240" t="inlineStr">
        <is>
          <t>Top SKU</t>
        </is>
      </c>
      <c r="H23" s="284" t="n"/>
      <c r="I23" s="240" t="inlineStr">
        <is>
          <t>A-Class
SKUs</t>
        </is>
      </c>
      <c r="J23" s="284" t="n"/>
      <c r="K23" s="240" t="inlineStr">
        <is>
          <t>B/C-Class
SKUs</t>
        </is>
      </c>
      <c r="L23" s="284" t="n"/>
    </row>
    <row r="24" ht="36" customHeight="1">
      <c r="A24" s="245" t="inlineStr">
        <is>
          <t>25</t>
        </is>
      </c>
      <c r="B24" s="284" t="n"/>
      <c r="C24" s="245" t="inlineStr">
        <is>
          <t>19,584</t>
        </is>
      </c>
      <c r="D24" s="284" t="n"/>
      <c r="E24" s="245" t="inlineStr">
        <is>
          <t>1,078</t>
        </is>
      </c>
      <c r="F24" s="284" t="n"/>
      <c r="G24" s="246" t="inlineStr">
        <is>
          <t>95612
(3,796 cases)</t>
        </is>
      </c>
      <c r="H24" s="284" t="n"/>
      <c r="I24" s="244" t="inlineStr">
        <is>
          <t>6 SKUs
→ Rack 30 Level A/B</t>
        </is>
      </c>
      <c r="J24" s="284" t="n"/>
      <c r="K24" s="244" t="inlineStr">
        <is>
          <t>19 SKUs
→ Rack 31 Level A-C</t>
        </is>
      </c>
      <c r="L24" s="284" t="n"/>
    </row>
    <row r="26" ht="7.5" customHeight="1"/>
    <row r="27" ht="21.75" customHeight="1">
      <c r="A27" s="283" t="inlineStr">
        <is>
          <t xml:space="preserve">                                                                        ABC CLASSIFICATION PLACEMENT RULES</t>
        </is>
      </c>
    </row>
    <row r="28" ht="21.75" customHeight="1">
      <c r="A28" s="61" t="inlineStr">
        <is>
          <t>Class</t>
        </is>
      </c>
      <c r="B28" s="61" t="inlineStr">
        <is>
          <t>Velocity Profile</t>
        </is>
      </c>
      <c r="C28" s="61" t="inlineStr">
        <is>
          <t>Rack</t>
        </is>
      </c>
      <c r="D28" s="61" t="inlineStr">
        <is>
          <t>Level Assigned</t>
        </is>
      </c>
      <c r="E28" s="61" t="inlineStr">
        <is>
          <t>Rationale</t>
        </is>
      </c>
    </row>
    <row r="29" ht="30" customHeight="1">
      <c r="A29" s="93" t="inlineStr">
        <is>
          <t>A</t>
        </is>
      </c>
      <c r="B29" s="94" t="inlineStr">
        <is>
          <t>Top 50% of volume</t>
        </is>
      </c>
      <c r="C29" s="94" t="inlineStr">
        <is>
          <t>Rack 30 (preferred)</t>
        </is>
      </c>
      <c r="D29" s="82" t="inlineStr">
        <is>
          <t>Level A (ground) → Level B</t>
        </is>
      </c>
      <c r="E29" s="95" t="inlineStr">
        <is>
          <t>Fastest forklift access for highest-turn SKUs</t>
        </is>
      </c>
    </row>
    <row r="30" ht="30" customHeight="1">
      <c r="A30" s="96" t="inlineStr">
        <is>
          <t>B</t>
        </is>
      </c>
      <c r="B30" s="97" t="inlineStr">
        <is>
          <t>50–80% of volume</t>
        </is>
      </c>
      <c r="C30" s="97" t="inlineStr">
        <is>
          <t>Rack 30 overflow / Rack 31</t>
        </is>
      </c>
      <c r="D30" s="98" t="inlineStr">
        <is>
          <t>Level A first, then Level B</t>
        </is>
      </c>
      <c r="E30" s="99" t="inlineStr">
        <is>
          <t>High pick frequency; forklift still efficient at both levels</t>
        </is>
      </c>
    </row>
    <row r="31" ht="30" customHeight="1">
      <c r="A31" s="100" t="inlineStr">
        <is>
          <t>C</t>
        </is>
      </c>
      <c r="B31" s="101" t="inlineStr">
        <is>
          <t>Bottom 20% of volume</t>
        </is>
      </c>
      <c r="C31" s="101" t="inlineStr">
        <is>
          <t>Rack 31</t>
        </is>
      </c>
      <c r="D31" s="102" t="inlineStr">
        <is>
          <t>Level B → Level C</t>
        </is>
      </c>
      <c r="E31" s="103" t="inlineStr">
        <is>
          <t>Lower frequency; Level C acceptable to free up A/B for faster movers</t>
        </is>
      </c>
    </row>
  </sheetData>
  <mergeCells count="42">
    <mergeCell ref="A9:N9"/>
    <mergeCell ref="A24:B24"/>
    <mergeCell ref="C6:D6"/>
    <mergeCell ref="I6:J6"/>
    <mergeCell ref="C24:D24"/>
    <mergeCell ref="E24:F24"/>
    <mergeCell ref="K24:L24"/>
    <mergeCell ref="C5:D5"/>
    <mergeCell ref="E5:F5"/>
    <mergeCell ref="E23:F23"/>
    <mergeCell ref="K5:L5"/>
    <mergeCell ref="G23:H23"/>
    <mergeCell ref="A6:B6"/>
    <mergeCell ref="A1:N1"/>
    <mergeCell ref="E19:F19"/>
    <mergeCell ref="G19:H19"/>
    <mergeCell ref="G6:H6"/>
    <mergeCell ref="A18:B18"/>
    <mergeCell ref="G18:H18"/>
    <mergeCell ref="I18:J18"/>
    <mergeCell ref="A27:N27"/>
    <mergeCell ref="E6:F6"/>
    <mergeCell ref="G24:H24"/>
    <mergeCell ref="I24:J24"/>
    <mergeCell ref="A5:B5"/>
    <mergeCell ref="G5:H5"/>
    <mergeCell ref="I5:J5"/>
    <mergeCell ref="I23:J23"/>
    <mergeCell ref="K23:L23"/>
    <mergeCell ref="A23:B23"/>
    <mergeCell ref="C23:D23"/>
    <mergeCell ref="A17:N17"/>
    <mergeCell ref="A22:N22"/>
    <mergeCell ref="A4:N4"/>
    <mergeCell ref="A19:B19"/>
    <mergeCell ref="C19:D19"/>
    <mergeCell ref="I19:J19"/>
    <mergeCell ref="K19:L19"/>
    <mergeCell ref="C18:D18"/>
    <mergeCell ref="K6:L6"/>
    <mergeCell ref="E18:F18"/>
    <mergeCell ref="K18:L18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zoomScaleNormal="100" workbookViewId="0">
      <selection activeCell="A1" sqref="A1"/>
    </sheetView>
  </sheetViews>
  <sheetFormatPr baseColWidth="8" defaultColWidth="8.85546875" defaultRowHeight="14.45"/>
  <cols>
    <col width="6" customWidth="1" min="1" max="1"/>
    <col width="8" customWidth="1" min="2" max="2"/>
    <col width="14" customWidth="1" min="3" max="3"/>
    <col width="32" customWidth="1" min="4" max="4"/>
    <col width="12" customWidth="1" min="5" max="6"/>
    <col width="10" customWidth="1" min="7" max="8"/>
    <col width="5" customWidth="1" min="9" max="9"/>
    <col width="8" customWidth="1" min="10" max="11"/>
    <col width="14" customWidth="1" min="12" max="12"/>
    <col width="16" customWidth="1" min="13" max="13"/>
    <col width="30" customWidth="1" min="14" max="14"/>
  </cols>
  <sheetData>
    <row r="1" ht="36" customHeight="1">
      <c r="A1" s="247" t="inlineStr">
        <is>
          <t>STAGING AREA DESIGN — 7 SKU PARTIAL PALLET SLOTS  |  Cadeco Industries · Team 7 INDE 4334</t>
        </is>
      </c>
    </row>
    <row r="2" ht="18" customHeight="1">
      <c r="A2" s="248" t="inlineStr">
        <is>
          <t>Slots arranged by ABC velocity class — A-class nearest Case Picker build station  |  Source: iRely order data Dec 2025–Feb 2026</t>
        </is>
      </c>
    </row>
    <row r="3" ht="27.75" customHeight="1">
      <c r="A3" s="104" t="inlineStr">
        <is>
          <t>Priority</t>
        </is>
      </c>
      <c r="B3" s="104" t="inlineStr">
        <is>
          <t>SKU</t>
        </is>
      </c>
      <c r="C3" s="104" t="inlineStr">
        <is>
          <t>ABC Class</t>
        </is>
      </c>
      <c r="D3" s="104" t="inlineStr">
        <is>
          <t>Product Description</t>
        </is>
      </c>
      <c r="E3" s="105" t="inlineStr">
        <is>
          <t>Cases/Wk</t>
        </is>
      </c>
      <c r="F3" s="105" t="inlineStr">
        <is>
          <t>Avg Cases/Ord</t>
        </is>
      </c>
      <c r="G3" s="106" t="inlineStr">
        <is>
          <t>Full Pallet Cap</t>
        </is>
      </c>
      <c r="H3" s="106" t="inlineStr">
        <is>
          <t>Pallet Slots</t>
        </is>
      </c>
      <c r="I3" s="106" t="inlineStr">
        <is>
          <t>Rack</t>
        </is>
      </c>
      <c r="J3" s="106" t="inlineStr">
        <is>
          <t>Col</t>
        </is>
      </c>
      <c r="K3" s="106" t="inlineStr">
        <is>
          <t>Level</t>
        </is>
      </c>
      <c r="L3" s="106" t="inlineStr">
        <is>
          <t>Cell Address</t>
        </is>
      </c>
      <c r="M3" s="107" t="inlineStr">
        <is>
          <t>Slot Position</t>
        </is>
      </c>
      <c r="N3" s="107" t="inlineStr">
        <is>
          <t>Notes</t>
        </is>
      </c>
    </row>
    <row r="4" ht="36" customHeight="1">
      <c r="A4" s="108" t="n">
        <v>1</v>
      </c>
      <c r="B4" s="108" t="inlineStr">
        <is>
          <t>62632</t>
        </is>
      </c>
      <c r="C4" s="109" t="inlineStr">
        <is>
          <t>A</t>
        </is>
      </c>
      <c r="D4" s="110" t="inlineStr">
        <is>
          <t>Target GG Org Sugar 6ct-2lb</t>
        </is>
      </c>
      <c r="E4" s="111" t="n">
        <v>1462</v>
      </c>
      <c r="F4" s="111" t="n">
        <v>72.3</v>
      </c>
      <c r="G4" s="111" t="n">
        <v>156</v>
      </c>
      <c r="H4" s="111" t="n">
        <v>2</v>
      </c>
      <c r="I4" s="111" t="n">
        <v>30</v>
      </c>
      <c r="J4" s="111" t="inlineStr">
        <is>
          <t>1 (odd)</t>
        </is>
      </c>
      <c r="K4" s="111" t="inlineStr">
        <is>
          <t>A</t>
        </is>
      </c>
      <c r="L4" s="111" t="inlineStr">
        <is>
          <t>R30-C01-A</t>
        </is>
      </c>
      <c r="M4" s="111" t="inlineStr">
        <is>
          <t>Nearest build station</t>
        </is>
      </c>
      <c r="N4" s="110" t="inlineStr">
        <is>
          <t>Class A — highest velocity; ground level forklift access</t>
        </is>
      </c>
    </row>
    <row r="5" ht="36" customHeight="1">
      <c r="A5" s="108" t="n">
        <v>2</v>
      </c>
      <c r="B5" s="108" t="inlineStr">
        <is>
          <t>62641</t>
        </is>
      </c>
      <c r="C5" s="112" t="inlineStr">
        <is>
          <t>B</t>
        </is>
      </c>
      <c r="D5" s="110" t="inlineStr">
        <is>
          <t>Target GG Org Lt Brown Sugar 6ct-1.5lb</t>
        </is>
      </c>
      <c r="E5" s="111" t="n">
        <v>717</v>
      </c>
      <c r="F5" s="111" t="n">
        <v>44.5</v>
      </c>
      <c r="G5" s="111" t="n">
        <v>180</v>
      </c>
      <c r="H5" s="111" t="n">
        <v>2</v>
      </c>
      <c r="I5" s="111" t="n">
        <v>30</v>
      </c>
      <c r="J5" s="111" t="inlineStr">
        <is>
          <t>3 (odd)</t>
        </is>
      </c>
      <c r="K5" s="111" t="inlineStr">
        <is>
          <t>B</t>
        </is>
      </c>
      <c r="L5" s="111" t="inlineStr">
        <is>
          <t>R30-C03-B</t>
        </is>
      </c>
      <c r="M5" s="111" t="inlineStr">
        <is>
          <t>2nd from station</t>
        </is>
      </c>
      <c r="N5" s="110" t="inlineStr">
        <is>
          <t>Class B — Level B forklift, very fast access</t>
        </is>
      </c>
    </row>
    <row r="6" ht="36" customHeight="1">
      <c r="A6" s="113" t="n">
        <v>3</v>
      </c>
      <c r="B6" s="113" t="inlineStr">
        <is>
          <t>62004</t>
        </is>
      </c>
      <c r="C6" s="112" t="inlineStr">
        <is>
          <t>B</t>
        </is>
      </c>
      <c r="D6" s="114" t="inlineStr">
        <is>
          <t>Target GG Org Powdered Sugar 6ct-1lb</t>
        </is>
      </c>
      <c r="E6" s="115" t="n">
        <v>543</v>
      </c>
      <c r="F6" s="115" t="n">
        <v>29.8</v>
      </c>
      <c r="G6" s="115" t="n">
        <v>180</v>
      </c>
      <c r="H6" s="115" t="n">
        <v>2</v>
      </c>
      <c r="I6" s="115" t="n">
        <v>30</v>
      </c>
      <c r="J6" s="115" t="inlineStr">
        <is>
          <t>5 (odd)</t>
        </is>
      </c>
      <c r="K6" s="115" t="inlineStr">
        <is>
          <t>B</t>
        </is>
      </c>
      <c r="L6" s="115" t="inlineStr">
        <is>
          <t>R30-C05-B</t>
        </is>
      </c>
      <c r="M6" s="115" t="inlineStr">
        <is>
          <t>3rd from station</t>
        </is>
      </c>
      <c r="N6" s="114" t="inlineStr">
        <is>
          <t>Class B — Level B; high pick frequency</t>
        </is>
      </c>
    </row>
    <row r="7" ht="36" customHeight="1">
      <c r="A7" s="116" t="n">
        <v>4</v>
      </c>
      <c r="B7" s="116" t="inlineStr">
        <is>
          <t>62106</t>
        </is>
      </c>
      <c r="C7" s="117" t="inlineStr">
        <is>
          <t>C</t>
        </is>
      </c>
      <c r="D7" s="118" t="inlineStr">
        <is>
          <t>Target GG Org Coconut Palm Sugar 6ct-1lb</t>
        </is>
      </c>
      <c r="E7" s="119" t="n">
        <v>369</v>
      </c>
      <c r="F7" s="119" t="n">
        <v>17.6</v>
      </c>
      <c r="G7" s="119" t="n">
        <v>192</v>
      </c>
      <c r="H7" s="119" t="n">
        <v>2</v>
      </c>
      <c r="I7" s="119" t="n">
        <v>30</v>
      </c>
      <c r="J7" s="119" t="inlineStr">
        <is>
          <t>7 (odd)</t>
        </is>
      </c>
      <c r="K7" s="119" t="inlineStr">
        <is>
          <t>C</t>
        </is>
      </c>
      <c r="L7" s="119" t="inlineStr">
        <is>
          <t>R30-C07-C</t>
        </is>
      </c>
      <c r="M7" s="119" t="inlineStr">
        <is>
          <t>4th from station</t>
        </is>
      </c>
      <c r="N7" s="118" t="inlineStr">
        <is>
          <t>Class C — Level C; moderate reach</t>
        </is>
      </c>
    </row>
    <row r="8" ht="36" customHeight="1">
      <c r="A8" s="116" t="n">
        <v>5</v>
      </c>
      <c r="B8" s="116" t="inlineStr">
        <is>
          <t>62231</t>
        </is>
      </c>
      <c r="C8" s="117" t="inlineStr">
        <is>
          <t>C</t>
        </is>
      </c>
      <c r="D8" s="118" t="inlineStr">
        <is>
          <t>Target GG Org Light Agave 6ct-23.5oz</t>
        </is>
      </c>
      <c r="E8" s="119" t="n">
        <v>344</v>
      </c>
      <c r="F8" s="119" t="n">
        <v>15.9</v>
      </c>
      <c r="G8" s="119" t="n">
        <v>180</v>
      </c>
      <c r="H8" s="119" t="n">
        <v>2</v>
      </c>
      <c r="I8" s="119" t="n">
        <v>31</v>
      </c>
      <c r="J8" s="119" t="inlineStr">
        <is>
          <t>1</t>
        </is>
      </c>
      <c r="K8" s="119" t="inlineStr">
        <is>
          <t>C</t>
        </is>
      </c>
      <c r="L8" s="119" t="inlineStr">
        <is>
          <t>R31-C01-C</t>
        </is>
      </c>
      <c r="M8" s="119" t="inlineStr">
        <is>
          <t>5th from station</t>
        </is>
      </c>
      <c r="N8" s="118" t="inlineStr">
        <is>
          <t>Class C — Rack 31</t>
        </is>
      </c>
    </row>
    <row r="9" ht="36" customHeight="1">
      <c r="A9" s="116" t="n">
        <v>6</v>
      </c>
      <c r="B9" s="116" t="inlineStr">
        <is>
          <t>62432</t>
        </is>
      </c>
      <c r="C9" s="117" t="inlineStr">
        <is>
          <t>C</t>
        </is>
      </c>
      <c r="D9" s="118" t="inlineStr">
        <is>
          <t>Target GG Org Sugar 6ct-4lb</t>
        </is>
      </c>
      <c r="E9" s="119" t="n">
        <v>279</v>
      </c>
      <c r="F9" s="119" t="n">
        <v>14.9</v>
      </c>
      <c r="G9" s="119" t="n">
        <v>81</v>
      </c>
      <c r="H9" s="119" t="n">
        <v>2</v>
      </c>
      <c r="I9" s="119" t="n">
        <v>31</v>
      </c>
      <c r="J9" s="119" t="inlineStr">
        <is>
          <t>2</t>
        </is>
      </c>
      <c r="K9" s="119" t="inlineStr">
        <is>
          <t>C</t>
        </is>
      </c>
      <c r="L9" s="119" t="inlineStr">
        <is>
          <t>R31-C02-C</t>
        </is>
      </c>
      <c r="M9" s="119" t="inlineStr">
        <is>
          <t>6th from station</t>
        </is>
      </c>
      <c r="N9" s="118" t="inlineStr">
        <is>
          <t>Class C — Rack 31</t>
        </is>
      </c>
    </row>
    <row r="10" ht="36" customHeight="1">
      <c r="A10" s="116" t="n">
        <v>7</v>
      </c>
      <c r="B10" s="116" t="inlineStr">
        <is>
          <t>62232</t>
        </is>
      </c>
      <c r="C10" s="117" t="inlineStr">
        <is>
          <t>C</t>
        </is>
      </c>
      <c r="D10" s="118" t="inlineStr">
        <is>
          <t>Target GG Org Raw Agave 6ct-23.5oz</t>
        </is>
      </c>
      <c r="E10" s="119" t="n">
        <v>131</v>
      </c>
      <c r="F10" s="119" t="n">
        <v>6.6</v>
      </c>
      <c r="G10" s="119" t="n">
        <v>180</v>
      </c>
      <c r="H10" s="119" t="n">
        <v>2</v>
      </c>
      <c r="I10" s="119" t="n">
        <v>31</v>
      </c>
      <c r="J10" s="119" t="inlineStr">
        <is>
          <t>3</t>
        </is>
      </c>
      <c r="K10" s="119" t="inlineStr">
        <is>
          <t>C</t>
        </is>
      </c>
      <c r="L10" s="119" t="inlineStr">
        <is>
          <t>R31-C03-C</t>
        </is>
      </c>
      <c r="M10" s="119" t="inlineStr">
        <is>
          <t>Furthest from station</t>
        </is>
      </c>
      <c r="N10" s="118" t="inlineStr">
        <is>
          <t>Class C — lowest velocity; furthest placement</t>
        </is>
      </c>
    </row>
    <row r="12" ht="24" customHeight="1">
      <c r="A12" s="120" t="inlineStr">
        <is>
          <t>—</t>
        </is>
      </c>
      <c r="B12" s="120" t="inlineStr">
        <is>
          <t>FLEX</t>
        </is>
      </c>
      <c r="C12" s="120" t="inlineStr">
        <is>
          <t>—</t>
        </is>
      </c>
      <c r="D12" s="121" t="inlineStr">
        <is>
          <t>Overflow / Returns — reassign as demand shifts</t>
        </is>
      </c>
      <c r="E12" s="120" t="inlineStr">
        <is>
          <t>—</t>
        </is>
      </c>
      <c r="F12" s="120" t="inlineStr">
        <is>
          <t>—</t>
        </is>
      </c>
      <c r="G12" s="120" t="inlineStr">
        <is>
          <t>—</t>
        </is>
      </c>
      <c r="H12" s="120" t="inlineStr">
        <is>
          <t>—</t>
        </is>
      </c>
      <c r="I12" s="120" t="inlineStr">
        <is>
          <t>—</t>
        </is>
      </c>
      <c r="J12" s="120" t="inlineStr">
        <is>
          <t>—</t>
        </is>
      </c>
      <c r="K12" s="120" t="inlineStr">
        <is>
          <t>—</t>
        </is>
      </c>
      <c r="L12" s="120" t="inlineStr">
        <is>
          <t>—</t>
        </is>
      </c>
      <c r="M12" s="120" t="inlineStr">
        <is>
          <t>—</t>
        </is>
      </c>
      <c r="N12" s="120" t="inlineStr">
        <is>
          <t>—</t>
        </is>
      </c>
    </row>
    <row r="14" ht="21.75" customHeight="1">
      <c r="A14" s="249" t="inlineStr">
        <is>
          <t>SLOT PROXIMITY RATIONALE</t>
        </is>
      </c>
    </row>
    <row r="15" ht="36" customHeight="1">
      <c r="A15" s="250" t="inlineStr">
        <is>
          <t>Principle</t>
        </is>
      </c>
      <c r="B15" s="306" t="n"/>
      <c r="C15" s="251" t="inlineStr">
        <is>
          <t>Distance from build station ∝ 1/pick frequency. High-velocity SKUs assigned nearest slots reduce average worker travel per case picked (Bartholdi &amp; Hackman 2019).</t>
        </is>
      </c>
      <c r="D15" s="307" t="n"/>
      <c r="E15" s="307" t="n"/>
      <c r="F15" s="307" t="n"/>
      <c r="G15" s="307" t="n"/>
      <c r="H15" s="307" t="n"/>
      <c r="I15" s="307" t="n"/>
      <c r="J15" s="307" t="n"/>
      <c r="K15" s="307" t="n"/>
      <c r="L15" s="307" t="n"/>
      <c r="M15" s="307" t="n"/>
      <c r="N15" s="306" t="n"/>
    </row>
    <row r="16" ht="36" customHeight="1">
      <c r="A16" s="250" t="inlineStr">
        <is>
          <t>Class A (slots 1–2)</t>
        </is>
      </c>
      <c r="B16" s="306" t="n"/>
      <c r="C16" s="251" t="inlineStr">
        <is>
          <t>Within arm's reach of build station. Case picker rarely takes more than 1–2 steps. Accounts for 62% of total Target case volume.</t>
        </is>
      </c>
      <c r="D16" s="307" t="n"/>
      <c r="E16" s="307" t="n"/>
      <c r="F16" s="307" t="n"/>
      <c r="G16" s="307" t="n"/>
      <c r="H16" s="307" t="n"/>
      <c r="I16" s="307" t="n"/>
      <c r="J16" s="307" t="n"/>
      <c r="K16" s="307" t="n"/>
      <c r="L16" s="307" t="n"/>
      <c r="M16" s="307" t="n"/>
      <c r="N16" s="306" t="n"/>
    </row>
    <row r="17" ht="36" customHeight="1">
      <c r="A17" s="250" t="inlineStr">
        <is>
          <t>Class B (slot 3)</t>
        </is>
      </c>
      <c r="B17" s="306" t="n"/>
      <c r="C17" s="251" t="inlineStr">
        <is>
          <t>Moderate distance. Picked multiple times per batch; short walk acceptable given frequency.</t>
        </is>
      </c>
      <c r="D17" s="307" t="n"/>
      <c r="E17" s="307" t="n"/>
      <c r="F17" s="307" t="n"/>
      <c r="G17" s="307" t="n"/>
      <c r="H17" s="307" t="n"/>
      <c r="I17" s="307" t="n"/>
      <c r="J17" s="307" t="n"/>
      <c r="K17" s="307" t="n"/>
      <c r="L17" s="307" t="n"/>
      <c r="M17" s="307" t="n"/>
      <c r="N17" s="306" t="n"/>
    </row>
    <row r="18" ht="36" customHeight="1">
      <c r="A18" s="250" t="inlineStr">
        <is>
          <t>Class C (slots 4–7)</t>
        </is>
      </c>
      <c r="B18" s="306" t="n"/>
      <c r="C18" s="251" t="inlineStr">
        <is>
          <t>Furthest placement. Low per-batch frequency means fewer round trips; total weekly travel cost remains low despite distance.</t>
        </is>
      </c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7" t="n"/>
      <c r="M18" s="307" t="n"/>
      <c r="N18" s="306" t="n"/>
    </row>
    <row r="19" ht="36" customHeight="1">
      <c r="A19" s="250" t="inlineStr">
        <is>
          <t>Forklift access</t>
        </is>
      </c>
      <c r="B19" s="306" t="n"/>
      <c r="C19" s="251" t="inlineStr">
        <is>
          <t>Forklift enters from left-side aisle. Delivers to slot; retrieves when case picker signals completion. No cross-traffic with build station.</t>
        </is>
      </c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7" t="n"/>
      <c r="M19" s="307" t="n"/>
      <c r="N19" s="306" t="n"/>
    </row>
    <row r="20" ht="36" customHeight="1">
      <c r="A20" s="250" t="inlineStr">
        <is>
          <t>FLEX slot</t>
        </is>
      </c>
      <c r="B20" s="306" t="n"/>
      <c r="C20" s="251" t="inlineStr">
        <is>
          <t>Absorbs seasonal SKU reassignment. Reviewed each reporting period using updated iRely data.</t>
        </is>
      </c>
      <c r="D20" s="307" t="n"/>
      <c r="E20" s="307" t="n"/>
      <c r="F20" s="307" t="n"/>
      <c r="G20" s="307" t="n"/>
      <c r="H20" s="307" t="n"/>
      <c r="I20" s="307" t="n"/>
      <c r="J20" s="307" t="n"/>
      <c r="K20" s="307" t="n"/>
      <c r="L20" s="307" t="n"/>
      <c r="M20" s="307" t="n"/>
      <c r="N20" s="306" t="n"/>
    </row>
  </sheetData>
  <mergeCells count="15">
    <mergeCell ref="A20:B20"/>
    <mergeCell ref="A16:B16"/>
    <mergeCell ref="C16:N16"/>
    <mergeCell ref="A15:B15"/>
    <mergeCell ref="C15:N15"/>
    <mergeCell ref="A19:B19"/>
    <mergeCell ref="C19:N19"/>
    <mergeCell ref="A2:N2"/>
    <mergeCell ref="C20:N20"/>
    <mergeCell ref="C18:N18"/>
    <mergeCell ref="C17:N17"/>
    <mergeCell ref="A17:B17"/>
    <mergeCell ref="A18:B18"/>
    <mergeCell ref="A14:N14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zoomScale="72" zoomScaleNormal="72" workbookViewId="0">
      <selection activeCell="E30" sqref="E30"/>
    </sheetView>
  </sheetViews>
  <sheetFormatPr baseColWidth="8" defaultColWidth="8.85546875" defaultRowHeight="14.45"/>
  <cols>
    <col width="36.140625" customWidth="1" min="1" max="1"/>
    <col width="8" customWidth="1" min="2" max="2"/>
    <col width="14" customWidth="1" min="3" max="6"/>
    <col width="30" customWidth="1" min="7" max="7"/>
    <col width="32" customWidth="1" min="8" max="8"/>
    <col width="12" customWidth="1" min="9" max="9"/>
  </cols>
  <sheetData>
    <row r="1" ht="36" customHeight="1">
      <c r="A1" s="247" t="inlineStr">
        <is>
          <t>NVA METRICS — CURRENT vs FUTURE STATE  |  Cadeco Industries · Team 7 INDE 4334</t>
        </is>
      </c>
    </row>
    <row r="2" ht="15.75" customHeight="1">
      <c r="A2" s="248" t="inlineStr">
        <is>
          <t>WorkStudy+ 7 · iRely baseline · Progress Reports 1 &amp; 2  |  NVA = Non-Value-Added  |  NEC = Necessary Non-VA  |  VA = Value-Added</t>
        </is>
      </c>
    </row>
    <row r="3" ht="31.5" customHeight="1">
      <c r="A3" s="107" t="inlineStr">
        <is>
          <t>Activity</t>
        </is>
      </c>
      <c r="B3" s="104" t="inlineStr">
        <is>
          <t>Cat.</t>
        </is>
      </c>
      <c r="C3" s="104" t="inlineStr">
        <is>
          <t>Current
(min)</t>
        </is>
      </c>
      <c r="D3" s="105" t="inlineStr">
        <is>
          <t>Future
(min)</t>
        </is>
      </c>
      <c r="E3" s="107" t="inlineStr">
        <is>
          <t>Δ Delta
(min)</t>
        </is>
      </c>
      <c r="F3" s="122" t="inlineStr">
        <is>
          <t>Status</t>
        </is>
      </c>
      <c r="G3" s="123" t="inlineStr">
        <is>
          <t>Mechanism of Improvement</t>
        </is>
      </c>
      <c r="H3" s="122" t="inlineStr">
        <is>
          <t>Supporting Evidence</t>
        </is>
      </c>
      <c r="I3" s="122" t="inlineStr">
        <is>
          <t>Source</t>
        </is>
      </c>
    </row>
    <row r="4" ht="19.5" customHeight="1">
      <c r="A4" s="252" t="inlineStr">
        <is>
          <t>NON-VALUE-ADDED (NVA) ACTIVITIES  —  activities that consume time and add no value</t>
        </is>
      </c>
    </row>
    <row r="5" ht="42.75" customHeight="1">
      <c r="A5" s="124" t="inlineStr">
        <is>
          <t>Grab Picklists from Printer</t>
        </is>
      </c>
      <c r="B5" s="125" t="inlineStr">
        <is>
          <t>NVA</t>
        </is>
      </c>
      <c r="C5" s="126" t="inlineStr">
        <is>
          <t>4.35</t>
        </is>
      </c>
      <c r="D5" s="126" t="inlineStr">
        <is>
          <t>4.35</t>
        </is>
      </c>
      <c r="E5" s="127" t="inlineStr">
        <is>
          <t>0.00</t>
        </is>
      </c>
      <c r="F5" s="126" t="inlineStr">
        <is>
          <t>Retained</t>
        </is>
      </c>
      <c r="G5" s="128" t="inlineStr">
        <is>
          <t>Printer location unchanged — out of scope per Cadeco sponsor agreement</t>
        </is>
      </c>
      <c r="H5" s="129" t="inlineStr">
        <is>
          <t>WorkStudy+ 7; n=24 cycles; 261s measured</t>
        </is>
      </c>
      <c r="I5" s="130" t="inlineStr">
        <is>
          <t>PR1 &amp; PR2</t>
        </is>
      </c>
    </row>
    <row r="6" ht="42.75" customHeight="1">
      <c r="A6" s="131" t="inlineStr">
        <is>
          <t>Search Floor for Partial Pallet</t>
        </is>
      </c>
      <c r="B6" s="125" t="inlineStr">
        <is>
          <t>NVA</t>
        </is>
      </c>
      <c r="C6" s="132" t="inlineStr">
        <is>
          <t>—</t>
        </is>
      </c>
      <c r="D6" s="133" t="inlineStr">
        <is>
          <t>0.00</t>
        </is>
      </c>
      <c r="E6" s="134" t="inlineStr">
        <is>
          <t>—</t>
        </is>
      </c>
      <c r="F6" s="133" t="inlineStr">
        <is>
          <t>Eliminated</t>
        </is>
      </c>
      <c r="G6" s="135" t="inlineStr">
        <is>
          <t>Designated rack cell addresses (Rack 30/31) eliminate unstructured floor search</t>
        </is>
      </c>
      <c r="H6" s="136" t="inlineStr">
        <is>
          <t>PR2 Appendix I spaghetti diagrams; no rack assignment pre-3/3/2026</t>
        </is>
      </c>
      <c r="I6" s="137" t="inlineStr">
        <is>
          <t>PR1 &amp; PR2</t>
        </is>
      </c>
    </row>
    <row r="7" ht="42.75" customHeight="1">
      <c r="A7" s="131" t="inlineStr">
        <is>
          <t>Redo Missing Picks</t>
        </is>
      </c>
      <c r="B7" s="125" t="inlineStr">
        <is>
          <t>NVA</t>
        </is>
      </c>
      <c r="C7" s="138" t="inlineStr">
        <is>
          <t>14.22</t>
        </is>
      </c>
      <c r="D7" s="133" t="inlineStr">
        <is>
          <t>0.00</t>
        </is>
      </c>
      <c r="E7" s="133" t="inlineStr">
        <is>
          <t>-14.22</t>
        </is>
      </c>
      <c r="F7" s="133" t="inlineStr">
        <is>
          <t>Eliminated</t>
        </is>
      </c>
      <c r="G7" s="135" t="inlineStr">
        <is>
          <t>Demand dashboard + pre-staged designated cells eliminate reactive repicking</t>
        </is>
      </c>
      <c r="H7" s="136" t="inlineStr">
        <is>
          <t>PR1/PR2; 853s measured; dominant NVA step</t>
        </is>
      </c>
      <c r="I7" s="137" t="inlineStr">
        <is>
          <t>PR1 &amp; PR2</t>
        </is>
      </c>
    </row>
    <row r="8" ht="42.75" customHeight="1">
      <c r="A8" s="131" t="inlineStr">
        <is>
          <t>Alternative Labels Printed</t>
        </is>
      </c>
      <c r="B8" s="125" t="inlineStr">
        <is>
          <t>NVA</t>
        </is>
      </c>
      <c r="C8" s="138" t="inlineStr">
        <is>
          <t>0.78</t>
        </is>
      </c>
      <c r="D8" s="133" t="inlineStr">
        <is>
          <t>0.00</t>
        </is>
      </c>
      <c r="E8" s="133" t="inlineStr">
        <is>
          <t>-0.78</t>
        </is>
      </c>
      <c r="F8" s="133" t="inlineStr">
        <is>
          <t>Eliminated</t>
        </is>
      </c>
      <c r="G8" s="135" t="inlineStr">
        <is>
          <t>Known Rack 30/31 cell address removes iRely alt-label workaround entirely</t>
        </is>
      </c>
      <c r="H8" s="136" t="inlineStr">
        <is>
          <t>PR2 FD-3 step; 46.99s measured; root cause = unknown pallet location</t>
        </is>
      </c>
      <c r="I8" s="137" t="inlineStr">
        <is>
          <t>PR1 &amp; PR2</t>
        </is>
      </c>
    </row>
    <row r="9" ht="27.75" customHeight="1">
      <c r="A9" s="139" t="inlineStr">
        <is>
          <t>TOTAL NVA / BATCH</t>
        </is>
      </c>
      <c r="B9" s="139" t="inlineStr">
        <is>
          <t>NVA</t>
        </is>
      </c>
      <c r="C9" s="140" t="inlineStr">
        <is>
          <t>19.35 min</t>
        </is>
      </c>
      <c r="D9" s="253" t="inlineStr">
        <is>
          <t>4.35 min</t>
        </is>
      </c>
      <c r="E9" s="139" t="inlineStr">
        <is>
          <t>-15.00 min</t>
        </is>
      </c>
      <c r="F9" s="253" t="inlineStr">
        <is>
          <t>↓ 78% NVA reduction</t>
        </is>
      </c>
    </row>
    <row r="10" ht="19.5" customHeight="1">
      <c r="A10" s="254" t="inlineStr">
        <is>
          <t>NECESSARY NON-VALUE-ADDED (NEC) ACTIVITIES  —  required but do not add customer value</t>
        </is>
      </c>
    </row>
    <row r="11" ht="37.5" customHeight="1">
      <c r="A11" s="141" t="inlineStr">
        <is>
          <t>Pallet Gathering (travel to rack)</t>
        </is>
      </c>
      <c r="B11" s="142" t="inlineStr">
        <is>
          <t>NEC</t>
        </is>
      </c>
      <c r="C11" s="143" t="inlineStr">
        <is>
          <t>2.19</t>
        </is>
      </c>
      <c r="D11" s="144" t="inlineStr">
        <is>
          <t>0.80</t>
        </is>
      </c>
      <c r="E11" s="145" t="inlineStr">
        <is>
          <t>-1.39</t>
        </is>
      </c>
      <c r="F11" s="144" t="inlineStr">
        <is>
          <t>Improved</t>
        </is>
      </c>
      <c r="G11" s="146" t="inlineStr">
        <is>
          <t>Racks 30 &amp; 31 adjacent to Target area reduce travel vs. dispersed rack locations</t>
        </is>
      </c>
      <c r="H11" s="147" t="inlineStr">
        <is>
          <t>PR2 Appendix I; rectilinear distance analysis per SKU; spaghetti diagrams</t>
        </is>
      </c>
      <c r="I11" s="148" t="inlineStr">
        <is>
          <t>PR1 &amp; PR2</t>
        </is>
      </c>
    </row>
    <row r="12" ht="37.5" customHeight="1">
      <c r="A12" s="141" t="inlineStr">
        <is>
          <t>Stage / Return Partial Pallet</t>
        </is>
      </c>
      <c r="B12" s="142" t="inlineStr">
        <is>
          <t>NEC</t>
        </is>
      </c>
      <c r="C12" s="149" t="inlineStr">
        <is>
          <t>—</t>
        </is>
      </c>
      <c r="D12" s="144" t="inlineStr">
        <is>
          <t>0.50</t>
        </is>
      </c>
      <c r="E12" s="150" t="inlineStr">
        <is>
          <t>—</t>
        </is>
      </c>
      <c r="F12" s="151" t="inlineStr">
        <is>
          <t>New Step</t>
        </is>
      </c>
      <c r="G12" s="146" t="inlineStr">
        <is>
          <t>New standardised return to designated slot — formalises previously untracked step</t>
        </is>
      </c>
      <c r="H12" s="147" t="inlineStr">
        <is>
          <t>Cell layout design; PR2 Improve phase SOPs</t>
        </is>
      </c>
      <c r="I12" s="148" t="inlineStr">
        <is>
          <t>PR1 &amp; PR2</t>
        </is>
      </c>
    </row>
    <row r="13" ht="27.75" customHeight="1">
      <c r="A13" s="152" t="inlineStr">
        <is>
          <t>TOTAL NEC / BATCH</t>
        </is>
      </c>
      <c r="B13" s="152" t="inlineStr">
        <is>
          <t>NEC</t>
        </is>
      </c>
      <c r="C13" s="255" t="inlineStr">
        <is>
          <t>2.19 min</t>
        </is>
      </c>
      <c r="D13" s="255" t="inlineStr">
        <is>
          <t>1.30 min</t>
        </is>
      </c>
      <c r="E13" s="152" t="inlineStr">
        <is>
          <t>-0.89 min</t>
        </is>
      </c>
      <c r="F13" s="255" t="inlineStr">
        <is>
          <t>↓ 41% NEC reduction</t>
        </is>
      </c>
    </row>
    <row r="14" ht="19.5" customHeight="1">
      <c r="A14" s="256" t="inlineStr">
        <is>
          <t>VALUE-ADDED (VA) ACTIVITIES  —  activities the customer is paying for</t>
        </is>
      </c>
    </row>
    <row r="15" ht="37.5" customHeight="1">
      <c r="A15" s="153" t="inlineStr">
        <is>
          <t>Case Building</t>
        </is>
      </c>
      <c r="B15" s="154" t="inlineStr">
        <is>
          <t>VA</t>
        </is>
      </c>
      <c r="C15" s="133" t="inlineStr">
        <is>
          <t>5.89</t>
        </is>
      </c>
      <c r="D15" s="133" t="inlineStr">
        <is>
          <t>5.89</t>
        </is>
      </c>
      <c r="E15" s="134" t="inlineStr">
        <is>
          <t>0.00</t>
        </is>
      </c>
      <c r="F15" s="155" t="inlineStr">
        <is>
          <t>Unchanged</t>
        </is>
      </c>
      <c r="G15" s="156" t="inlineStr">
        <is>
          <t>Core value-added step — throughput maintained; no reduction targeted</t>
        </is>
      </c>
      <c r="H15" s="157" t="inlineStr">
        <is>
          <t>WorkStudy+ 7; n=24 cycles; VA activity</t>
        </is>
      </c>
      <c r="I15" s="137" t="inlineStr">
        <is>
          <t>PR1 &amp; PR2</t>
        </is>
      </c>
    </row>
    <row r="16" ht="27.75" customHeight="1">
      <c r="A16" s="253" t="inlineStr">
        <is>
          <t>TOTAL VA / BATCH</t>
        </is>
      </c>
      <c r="B16" s="253" t="inlineStr">
        <is>
          <t>VA</t>
        </is>
      </c>
      <c r="C16" s="253" t="inlineStr">
        <is>
          <t>5.89 min</t>
        </is>
      </c>
      <c r="D16" s="253" t="inlineStr">
        <is>
          <t>5.89 min</t>
        </is>
      </c>
      <c r="E16" s="253" t="inlineStr">
        <is>
          <t>0.00 min</t>
        </is>
      </c>
      <c r="F16" s="253" t="inlineStr">
        <is>
          <t>Unchanged</t>
        </is>
      </c>
    </row>
    <row r="18" ht="31.5" customHeight="1">
      <c r="A18" s="257" t="inlineStr">
        <is>
          <t>TOTAL CYCLE TIME / BATCH  (NVA + NEC + VA)</t>
        </is>
      </c>
      <c r="C18" s="158" t="inlineStr">
        <is>
          <t>27.43 min</t>
        </is>
      </c>
      <c r="D18" s="158" t="inlineStr">
        <is>
          <t>11.54 min</t>
        </is>
      </c>
      <c r="E18" s="257" t="inlineStr">
        <is>
          <t>-15.89 min</t>
        </is>
      </c>
      <c r="F18" s="258" t="inlineStr">
        <is>
          <t>↓ 58% total cycle time reduction</t>
        </is>
      </c>
    </row>
    <row r="20" ht="19.5" customHeight="1">
      <c r="A20" s="260" t="inlineStr">
        <is>
          <t>ASSUMPTIONS &amp; NOTES</t>
        </is>
      </c>
    </row>
    <row r="21" ht="27.75" customHeight="1">
      <c r="A21" s="259" t="inlineStr">
        <is>
          <t>• TRUE NVA baseline = 19.35 min (Grab Picklists 4.35 + Redo Missing Picks 14.22 + Alt. Labels 0.78). Previous reports cited 18.6 min (omitted Alt Labels). Reduction = 78%.</t>
        </is>
      </c>
      <c r="B21" s="307" t="n"/>
      <c r="C21" s="307" t="n"/>
      <c r="D21" s="307" t="n"/>
      <c r="E21" s="307" t="n"/>
      <c r="F21" s="307" t="n"/>
      <c r="G21" s="307" t="n"/>
      <c r="H21" s="307" t="n"/>
      <c r="I21" s="306" t="n"/>
    </row>
    <row r="22" ht="27.75" customHeight="1">
      <c r="A22" s="259" t="inlineStr">
        <is>
          <t>• Future Pallet Gathering (0.80 min) estimated from rectilinear distance analysis — ~50-60% travel reduction when Racks 30 &amp; 31 adjacent to Target area.</t>
        </is>
      </c>
      <c r="B22" s="307" t="n"/>
      <c r="C22" s="307" t="n"/>
      <c r="D22" s="307" t="n"/>
      <c r="E22" s="307" t="n"/>
      <c r="F22" s="307" t="n"/>
      <c r="G22" s="307" t="n"/>
      <c r="H22" s="307" t="n"/>
      <c r="I22" s="306" t="n"/>
    </row>
    <row r="23" ht="27.75" customHeight="1">
      <c r="A23" s="259" t="inlineStr">
        <is>
          <t>• Stage/Return Partial Pallet (0.50 min): new standardised step with no current baseline (previously untracked ad-hoc activity).</t>
        </is>
      </c>
      <c r="B23" s="307" t="n"/>
      <c r="C23" s="307" t="n"/>
      <c r="D23" s="307" t="n"/>
      <c r="E23" s="307" t="n"/>
      <c r="F23" s="307" t="n"/>
      <c r="G23" s="307" t="n"/>
      <c r="H23" s="307" t="n"/>
      <c r="I23" s="306" t="n"/>
    </row>
    <row r="24" ht="27.75" customHeight="1">
      <c r="A24" s="259" t="inlineStr">
        <is>
          <t>• Grab Picklists NVA (4.35 min) retained — printer relocation out of scope per Cadeco sponsor agreement.</t>
        </is>
      </c>
      <c r="B24" s="307" t="n"/>
      <c r="C24" s="307" t="n"/>
      <c r="D24" s="307" t="n"/>
      <c r="E24" s="307" t="n"/>
      <c r="F24" s="307" t="n"/>
      <c r="G24" s="307" t="n"/>
      <c r="H24" s="307" t="n"/>
      <c r="I24" s="306" t="n"/>
    </row>
    <row r="25" ht="27.75" customHeight="1">
      <c r="A25" s="259" t="inlineStr">
        <is>
          <t>• Search Floor for Partial Pallet: NVA with no measured clock time; eliminated by designated cell assignment. Excluded from NVA time total but captured as eliminated.</t>
        </is>
      </c>
      <c r="B25" s="307" t="n"/>
      <c r="C25" s="307" t="n"/>
      <c r="D25" s="307" t="n"/>
      <c r="E25" s="307" t="n"/>
      <c r="F25" s="307" t="n"/>
      <c r="G25" s="307" t="n"/>
      <c r="H25" s="307" t="n"/>
      <c r="I25" s="306" t="n"/>
    </row>
    <row r="26" ht="27.75" customHeight="1">
      <c r="A26" s="259" t="inlineStr">
        <is>
          <t>• iRely software changes confirmed out of scope. All improvements are layout-based and process-based only.</t>
        </is>
      </c>
      <c r="B26" s="307" t="n"/>
      <c r="C26" s="307" t="n"/>
      <c r="D26" s="307" t="n"/>
      <c r="E26" s="307" t="n"/>
      <c r="F26" s="307" t="n"/>
      <c r="G26" s="307" t="n"/>
      <c r="H26" s="307" t="n"/>
      <c r="I26" s="306" t="n"/>
    </row>
    <row r="27" ht="27.75" customHeight="1">
      <c r="A27" s="259" t="inlineStr">
        <is>
          <t>• Rack naming: Rack 30 (odd cols) = Class A/B Target SKUs; Rack 30 (even cols) = overflow; Rack 31 = Class C Target SKUs. Consistent across all deliverables.</t>
        </is>
      </c>
      <c r="B27" s="307" t="n"/>
      <c r="C27" s="307" t="n"/>
      <c r="D27" s="307" t="n"/>
      <c r="E27" s="307" t="n"/>
      <c r="F27" s="307" t="n"/>
      <c r="G27" s="307" t="n"/>
      <c r="H27" s="307" t="n"/>
      <c r="I27" s="306" t="n"/>
    </row>
    <row r="28" ht="27.75" customHeight="1">
      <c r="A28" s="259" t="inlineStr">
        <is>
          <t>• SKU 62641: ABC Class B — Pareto cumulative = 56.7%, above the 50% Class A threshold. Corrected from earlier drafts showing Class A.</t>
        </is>
      </c>
      <c r="B28" s="307" t="n"/>
      <c r="C28" s="307" t="n"/>
      <c r="D28" s="307" t="n"/>
      <c r="E28" s="307" t="n"/>
      <c r="F28" s="307" t="n"/>
      <c r="G28" s="307" t="n"/>
      <c r="H28" s="307" t="n"/>
      <c r="I28" s="306" t="n"/>
    </row>
  </sheetData>
  <mergeCells count="19">
    <mergeCell ref="A25:I25"/>
    <mergeCell ref="F13:I13"/>
    <mergeCell ref="F9:I9"/>
    <mergeCell ref="A27:I27"/>
    <mergeCell ref="A26:I26"/>
    <mergeCell ref="A21:I21"/>
    <mergeCell ref="A2:I2"/>
    <mergeCell ref="A14:I14"/>
    <mergeCell ref="A23:I23"/>
    <mergeCell ref="F16:I16"/>
    <mergeCell ref="A22:I22"/>
    <mergeCell ref="A18:B18"/>
    <mergeCell ref="A4:I4"/>
    <mergeCell ref="A20:I20"/>
    <mergeCell ref="A10:I10"/>
    <mergeCell ref="A28:I28"/>
    <mergeCell ref="A24:I24"/>
    <mergeCell ref="F18:I18"/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4"/>
  <sheetViews>
    <sheetView showGridLines="0" zoomScaleNormal="100" workbookViewId="0">
      <selection activeCell="K30" sqref="K30"/>
    </sheetView>
  </sheetViews>
  <sheetFormatPr baseColWidth="8" defaultColWidth="8.5703125" defaultRowHeight="14.45"/>
  <cols>
    <col width="9" customWidth="1" min="1" max="1"/>
    <col width="13" customWidth="1" min="2" max="33"/>
  </cols>
  <sheetData>
    <row r="1" ht="33.75" customHeight="1">
      <c r="A1" s="261" t="inlineStr">
        <is>
          <t>DESIGN B Customer-Separated Zones  |  Rack 30 = TARGET only  |  Rack 31 = AMAZON only</t>
        </is>
      </c>
    </row>
    <row r="2" ht="15.75" customHeight="1">
      <c r="A2" s="262" t="inlineStr">
        <is>
          <t>Logic: Each rack dedicated to one customer → pickers never cross racks mid-batch  |  Target A-class at Level A/B of Rack 30  |  Amazon A-class at Level A of Rack 31</t>
        </is>
      </c>
    </row>
    <row r="3" ht="6" customHeight="1"/>
    <row r="4" ht="19.5" customHeight="1">
      <c r="A4" s="263" t="inlineStr">
        <is>
          <t>▼  RACK 30 — TARGET SKUs ONLY  |  7 SKUs across 7 columns  |  A-class → Level A  |  B/C-class → Level B</t>
        </is>
      </c>
    </row>
    <row r="5" ht="18" customHeight="1">
      <c r="A5" s="264" t="inlineStr">
        <is>
          <t xml:space="preserve">  Level A — PRIME (~0–6 ft, ground, immediate forklift access)</t>
        </is>
      </c>
      <c r="B5" s="284" t="n"/>
      <c r="C5" s="284" t="n"/>
      <c r="D5" s="284" t="n"/>
      <c r="E5" s="284" t="n"/>
      <c r="F5" s="284" t="n"/>
      <c r="G5" s="284" t="n"/>
      <c r="H5" s="284" t="n"/>
      <c r="I5" s="265" t="inlineStr">
        <is>
          <t xml:space="preserve">  Level B — HIGH (~6–12 ft, second level, fast access)</t>
        </is>
      </c>
      <c r="J5" s="284" t="n"/>
      <c r="K5" s="284" t="n"/>
      <c r="L5" s="284" t="n"/>
      <c r="M5" s="284" t="n"/>
      <c r="N5" s="284" t="n"/>
      <c r="O5" s="284" t="n"/>
      <c r="P5" s="284" t="n"/>
      <c r="Q5" s="266" t="inlineStr">
        <is>
          <t xml:space="preserve">  Level C — MEDIUM (~12–18 ft, moderate reach)</t>
        </is>
      </c>
      <c r="R5" s="284" t="n"/>
      <c r="S5" s="284" t="n"/>
      <c r="T5" s="284" t="n"/>
      <c r="U5" s="284" t="n"/>
      <c r="V5" s="284" t="n"/>
      <c r="W5" s="284" t="n"/>
      <c r="X5" s="284" t="n"/>
      <c r="Y5" s="267" t="inlineStr">
        <is>
          <t xml:space="preserve">  Level D — UPPER (~18–24 ft, slowest access)</t>
        </is>
      </c>
      <c r="Z5" s="284" t="n"/>
      <c r="AA5" s="284" t="n"/>
      <c r="AB5" s="284" t="n"/>
      <c r="AC5" s="284" t="n"/>
      <c r="AD5" s="284" t="n"/>
      <c r="AE5" s="284" t="n"/>
      <c r="AF5" s="284" t="n"/>
    </row>
    <row r="6" ht="3.75" customHeight="1"/>
    <row r="7" ht="19.5" customHeight="1">
      <c r="A7" s="159" t="inlineStr">
        <is>
          <t>LEVEL</t>
        </is>
      </c>
      <c r="B7" s="268" t="inlineStr">
        <is>
          <t>Col 1</t>
        </is>
      </c>
      <c r="C7" s="284" t="n"/>
      <c r="D7" s="268" t="inlineStr">
        <is>
          <t>Col 3</t>
        </is>
      </c>
      <c r="E7" s="284" t="n"/>
      <c r="F7" s="268" t="inlineStr">
        <is>
          <t>Col 5</t>
        </is>
      </c>
      <c r="G7" s="284" t="n"/>
      <c r="H7" s="268" t="inlineStr">
        <is>
          <t>Col 7</t>
        </is>
      </c>
      <c r="I7" s="284" t="n"/>
      <c r="J7" s="268" t="inlineStr">
        <is>
          <t>Col 9</t>
        </is>
      </c>
      <c r="K7" s="284" t="n"/>
      <c r="L7" s="268" t="inlineStr">
        <is>
          <t>Col 11</t>
        </is>
      </c>
      <c r="M7" s="284" t="n"/>
      <c r="N7" s="268" t="inlineStr">
        <is>
          <t>Col 13</t>
        </is>
      </c>
      <c r="O7" s="284" t="n"/>
      <c r="P7" s="268" t="inlineStr">
        <is>
          <t>Col 15</t>
        </is>
      </c>
      <c r="Q7" s="284" t="n"/>
      <c r="R7" s="268" t="inlineStr">
        <is>
          <t>Col 17</t>
        </is>
      </c>
      <c r="S7" s="284" t="n"/>
      <c r="T7" s="268" t="inlineStr">
        <is>
          <t>Col 19</t>
        </is>
      </c>
      <c r="U7" s="284" t="n"/>
      <c r="V7" s="268" t="inlineStr">
        <is>
          <t>Col 21</t>
        </is>
      </c>
      <c r="W7" s="284" t="n"/>
      <c r="X7" s="268" t="inlineStr">
        <is>
          <t>Col 23</t>
        </is>
      </c>
      <c r="Y7" s="284" t="n"/>
      <c r="Z7" s="268" t="inlineStr">
        <is>
          <t>Col 25</t>
        </is>
      </c>
      <c r="AA7" s="284" t="n"/>
      <c r="AB7" s="268" t="inlineStr">
        <is>
          <t>Col 27</t>
        </is>
      </c>
      <c r="AC7" s="284" t="n"/>
      <c r="AD7" s="268" t="inlineStr">
        <is>
          <t>Col 29</t>
        </is>
      </c>
      <c r="AE7" s="284" t="n"/>
      <c r="AF7" s="268" t="inlineStr">
        <is>
          <t>Col 31</t>
        </is>
      </c>
      <c r="AG7" s="284" t="n"/>
    </row>
    <row r="8" ht="15.75" customHeight="1">
      <c r="A8" s="52" t="n"/>
      <c r="B8" s="160" t="inlineStr">
        <is>
          <t>Pallet 1</t>
        </is>
      </c>
      <c r="C8" s="160" t="inlineStr">
        <is>
          <t>Pallet 2</t>
        </is>
      </c>
      <c r="D8" s="160" t="inlineStr">
        <is>
          <t>Pallet 1</t>
        </is>
      </c>
      <c r="E8" s="160" t="inlineStr">
        <is>
          <t>Pallet 2</t>
        </is>
      </c>
      <c r="F8" s="160" t="inlineStr">
        <is>
          <t>Pallet 1</t>
        </is>
      </c>
      <c r="G8" s="160" t="inlineStr">
        <is>
          <t>Pallet 2</t>
        </is>
      </c>
      <c r="H8" s="160" t="inlineStr">
        <is>
          <t>Pallet 1</t>
        </is>
      </c>
      <c r="I8" s="160" t="inlineStr">
        <is>
          <t>Pallet 2</t>
        </is>
      </c>
      <c r="J8" s="160" t="inlineStr">
        <is>
          <t>Pallet 1</t>
        </is>
      </c>
      <c r="K8" s="160" t="inlineStr">
        <is>
          <t>Pallet 2</t>
        </is>
      </c>
      <c r="L8" s="160" t="inlineStr">
        <is>
          <t>Pallet 1</t>
        </is>
      </c>
      <c r="M8" s="160" t="inlineStr">
        <is>
          <t>Pallet 2</t>
        </is>
      </c>
      <c r="N8" s="160" t="inlineStr">
        <is>
          <t>Pallet 1</t>
        </is>
      </c>
      <c r="O8" s="160" t="inlineStr">
        <is>
          <t>Pallet 2</t>
        </is>
      </c>
      <c r="P8" s="160" t="inlineStr">
        <is>
          <t>Pallet 1</t>
        </is>
      </c>
      <c r="Q8" s="160" t="inlineStr">
        <is>
          <t>Pallet 2</t>
        </is>
      </c>
      <c r="R8" s="160" t="inlineStr">
        <is>
          <t>Pallet 1</t>
        </is>
      </c>
      <c r="S8" s="160" t="inlineStr">
        <is>
          <t>Pallet 2</t>
        </is>
      </c>
      <c r="T8" s="160" t="inlineStr">
        <is>
          <t>Pallet 1</t>
        </is>
      </c>
      <c r="U8" s="160" t="inlineStr">
        <is>
          <t>Pallet 2</t>
        </is>
      </c>
      <c r="V8" s="160" t="inlineStr">
        <is>
          <t>Pallet 1</t>
        </is>
      </c>
      <c r="W8" s="160" t="inlineStr">
        <is>
          <t>Pallet 2</t>
        </is>
      </c>
      <c r="X8" s="160" t="inlineStr">
        <is>
          <t>Pallet 1</t>
        </is>
      </c>
      <c r="Y8" s="160" t="inlineStr">
        <is>
          <t>Pallet 2</t>
        </is>
      </c>
      <c r="Z8" s="160" t="inlineStr">
        <is>
          <t>Pallet 1</t>
        </is>
      </c>
      <c r="AA8" s="160" t="inlineStr">
        <is>
          <t>Pallet 2</t>
        </is>
      </c>
      <c r="AB8" s="160" t="inlineStr">
        <is>
          <t>Pallet 1</t>
        </is>
      </c>
      <c r="AC8" s="160" t="inlineStr">
        <is>
          <t>Pallet 2</t>
        </is>
      </c>
      <c r="AD8" s="160" t="inlineStr">
        <is>
          <t>Pallet 1</t>
        </is>
      </c>
      <c r="AE8" s="160" t="inlineStr">
        <is>
          <t>Pallet 2</t>
        </is>
      </c>
      <c r="AF8" s="160" t="inlineStr">
        <is>
          <t>Pallet 1</t>
        </is>
      </c>
      <c r="AG8" s="160" t="inlineStr">
        <is>
          <t>Pallet 2</t>
        </is>
      </c>
    </row>
    <row r="9" ht="48" customHeight="1">
      <c r="A9" s="161" t="inlineStr">
        <is>
          <t>Level A
(~0–6ft)</t>
        </is>
      </c>
      <c r="B9" s="162" t="inlineStr">
        <is>
          <t>[TAR]
62632
GG Org Sugar 6ct-2lb</t>
        </is>
      </c>
      <c r="C9" s="162" t="inlineStr">
        <is>
          <t>[TAR]
62632
GG Org Sugar 6ct-2lb</t>
        </is>
      </c>
      <c r="D9" s="163" t="inlineStr">
        <is>
          <t>—</t>
        </is>
      </c>
      <c r="E9" s="163" t="inlineStr">
        <is>
          <t>—</t>
        </is>
      </c>
      <c r="F9" s="163" t="inlineStr">
        <is>
          <t>—</t>
        </is>
      </c>
      <c r="G9" s="163" t="inlineStr">
        <is>
          <t>—</t>
        </is>
      </c>
      <c r="H9" s="163" t="inlineStr">
        <is>
          <t>—</t>
        </is>
      </c>
      <c r="I9" s="163" t="inlineStr">
        <is>
          <t>—</t>
        </is>
      </c>
      <c r="J9" s="163" t="inlineStr">
        <is>
          <t>—</t>
        </is>
      </c>
      <c r="K9" s="163" t="inlineStr">
        <is>
          <t>—</t>
        </is>
      </c>
      <c r="L9" s="163" t="inlineStr">
        <is>
          <t>—</t>
        </is>
      </c>
      <c r="M9" s="163" t="inlineStr">
        <is>
          <t>—</t>
        </is>
      </c>
      <c r="N9" s="163" t="inlineStr">
        <is>
          <t>—</t>
        </is>
      </c>
      <c r="O9" s="163" t="inlineStr">
        <is>
          <t>—</t>
        </is>
      </c>
      <c r="P9" s="163" t="inlineStr">
        <is>
          <t>—</t>
        </is>
      </c>
      <c r="Q9" s="163" t="inlineStr">
        <is>
          <t>—</t>
        </is>
      </c>
      <c r="R9" s="163" t="inlineStr">
        <is>
          <t>—</t>
        </is>
      </c>
      <c r="S9" s="163" t="inlineStr">
        <is>
          <t>—</t>
        </is>
      </c>
      <c r="T9" s="163" t="inlineStr">
        <is>
          <t>—</t>
        </is>
      </c>
      <c r="U9" s="163" t="inlineStr">
        <is>
          <t>—</t>
        </is>
      </c>
      <c r="V9" s="163" t="inlineStr">
        <is>
          <t>—</t>
        </is>
      </c>
      <c r="W9" s="163" t="inlineStr">
        <is>
          <t>—</t>
        </is>
      </c>
      <c r="X9" s="163" t="inlineStr">
        <is>
          <t>—</t>
        </is>
      </c>
      <c r="Y9" s="163" t="inlineStr">
        <is>
          <t>—</t>
        </is>
      </c>
      <c r="Z9" s="163" t="inlineStr">
        <is>
          <t>—</t>
        </is>
      </c>
      <c r="AA9" s="163" t="inlineStr">
        <is>
          <t>—</t>
        </is>
      </c>
      <c r="AB9" s="163" t="inlineStr">
        <is>
          <t>—</t>
        </is>
      </c>
      <c r="AC9" s="163" t="inlineStr">
        <is>
          <t>—</t>
        </is>
      </c>
      <c r="AD9" s="163" t="inlineStr">
        <is>
          <t>—</t>
        </is>
      </c>
      <c r="AE9" s="163" t="inlineStr">
        <is>
          <t>—</t>
        </is>
      </c>
      <c r="AF9" s="163" t="inlineStr">
        <is>
          <t>—</t>
        </is>
      </c>
      <c r="AG9" s="163" t="inlineStr">
        <is>
          <t>—</t>
        </is>
      </c>
    </row>
    <row r="10" ht="48" customHeight="1">
      <c r="A10" s="164" t="inlineStr">
        <is>
          <t>Level B
(~6–12ft)</t>
        </is>
      </c>
      <c r="B10" s="163" t="inlineStr">
        <is>
          <t>—</t>
        </is>
      </c>
      <c r="C10" s="163" t="inlineStr">
        <is>
          <t>—</t>
        </is>
      </c>
      <c r="D10" s="162" t="inlineStr">
        <is>
          <t>[TAR]
62641
GG Org Lt Brown 6ct-1.5lb</t>
        </is>
      </c>
      <c r="E10" s="162" t="inlineStr">
        <is>
          <t>[TAR]
62641
GG Org Lt Brown 6ct-1.5lb</t>
        </is>
      </c>
      <c r="F10" s="162" t="inlineStr">
        <is>
          <t>[TAR]
62004
GG Org Pwd Sugar 6ct-1lb</t>
        </is>
      </c>
      <c r="G10" s="162" t="inlineStr">
        <is>
          <t>[TAR]
62004
GG Org Pwd Sugar 6ct-1lb</t>
        </is>
      </c>
      <c r="H10" s="162" t="inlineStr">
        <is>
          <t>[TAR]
62106
GG Org Coconut Palm 6ct</t>
        </is>
      </c>
      <c r="I10" s="162" t="inlineStr">
        <is>
          <t>[TAR]
62106
GG Org Coconut Palm 6ct</t>
        </is>
      </c>
      <c r="J10" s="162" t="inlineStr">
        <is>
          <t>[TAR]
62231
GG Org Light Agave 6ct</t>
        </is>
      </c>
      <c r="K10" s="162" t="inlineStr">
        <is>
          <t>[TAR]
62231
GG Org Light Agave 6ct</t>
        </is>
      </c>
      <c r="L10" s="162" t="inlineStr">
        <is>
          <t>[TAR]
62432
GG Org Sugar 6ct-4lb</t>
        </is>
      </c>
      <c r="M10" s="162" t="inlineStr">
        <is>
          <t>[TAR]
62432
GG Org Sugar 6ct-4lb</t>
        </is>
      </c>
      <c r="N10" s="162" t="inlineStr">
        <is>
          <t>[TAR]
62232
GG Org Raw Agave 6ct</t>
        </is>
      </c>
      <c r="O10" s="162" t="inlineStr">
        <is>
          <t>[TAR]
62232
GG Org Raw Agave 6ct</t>
        </is>
      </c>
      <c r="P10" s="163" t="inlineStr">
        <is>
          <t>—</t>
        </is>
      </c>
      <c r="Q10" s="163" t="inlineStr">
        <is>
          <t>—</t>
        </is>
      </c>
      <c r="R10" s="163" t="inlineStr">
        <is>
          <t>—</t>
        </is>
      </c>
      <c r="S10" s="163" t="inlineStr">
        <is>
          <t>—</t>
        </is>
      </c>
      <c r="T10" s="163" t="inlineStr">
        <is>
          <t>—</t>
        </is>
      </c>
      <c r="U10" s="163" t="inlineStr">
        <is>
          <t>—</t>
        </is>
      </c>
      <c r="V10" s="163" t="inlineStr">
        <is>
          <t>—</t>
        </is>
      </c>
      <c r="W10" s="163" t="inlineStr">
        <is>
          <t>—</t>
        </is>
      </c>
      <c r="X10" s="163" t="inlineStr">
        <is>
          <t>—</t>
        </is>
      </c>
      <c r="Y10" s="163" t="inlineStr">
        <is>
          <t>—</t>
        </is>
      </c>
      <c r="Z10" s="163" t="inlineStr">
        <is>
          <t>—</t>
        </is>
      </c>
      <c r="AA10" s="163" t="inlineStr">
        <is>
          <t>—</t>
        </is>
      </c>
      <c r="AB10" s="163" t="inlineStr">
        <is>
          <t>—</t>
        </is>
      </c>
      <c r="AC10" s="163" t="inlineStr">
        <is>
          <t>—</t>
        </is>
      </c>
      <c r="AD10" s="163" t="inlineStr">
        <is>
          <t>—</t>
        </is>
      </c>
      <c r="AE10" s="163" t="inlineStr">
        <is>
          <t>—</t>
        </is>
      </c>
      <c r="AF10" s="163" t="inlineStr">
        <is>
          <t>—</t>
        </is>
      </c>
      <c r="AG10" s="163" t="inlineStr">
        <is>
          <t>—</t>
        </is>
      </c>
    </row>
    <row r="11" ht="48" customHeight="1">
      <c r="A11" s="165" t="inlineStr">
        <is>
          <t>Level C
(~12–18ft)</t>
        </is>
      </c>
      <c r="B11" s="163" t="inlineStr">
        <is>
          <t>—</t>
        </is>
      </c>
      <c r="C11" s="163" t="inlineStr">
        <is>
          <t>—</t>
        </is>
      </c>
      <c r="D11" s="163" t="inlineStr">
        <is>
          <t>—</t>
        </is>
      </c>
      <c r="E11" s="163" t="inlineStr">
        <is>
          <t>—</t>
        </is>
      </c>
      <c r="F11" s="163" t="inlineStr">
        <is>
          <t>—</t>
        </is>
      </c>
      <c r="G11" s="163" t="inlineStr">
        <is>
          <t>—</t>
        </is>
      </c>
      <c r="H11" s="163" t="inlineStr">
        <is>
          <t>—</t>
        </is>
      </c>
      <c r="I11" s="163" t="inlineStr">
        <is>
          <t>—</t>
        </is>
      </c>
      <c r="J11" s="163" t="inlineStr">
        <is>
          <t>—</t>
        </is>
      </c>
      <c r="K11" s="163" t="inlineStr">
        <is>
          <t>—</t>
        </is>
      </c>
      <c r="L11" s="163" t="inlineStr">
        <is>
          <t>—</t>
        </is>
      </c>
      <c r="M11" s="163" t="inlineStr">
        <is>
          <t>—</t>
        </is>
      </c>
      <c r="N11" s="163" t="inlineStr">
        <is>
          <t>—</t>
        </is>
      </c>
      <c r="O11" s="163" t="inlineStr">
        <is>
          <t>—</t>
        </is>
      </c>
      <c r="P11" s="163" t="inlineStr">
        <is>
          <t>—</t>
        </is>
      </c>
      <c r="Q11" s="163" t="inlineStr">
        <is>
          <t>—</t>
        </is>
      </c>
      <c r="R11" s="163" t="inlineStr">
        <is>
          <t>—</t>
        </is>
      </c>
      <c r="S11" s="163" t="inlineStr">
        <is>
          <t>—</t>
        </is>
      </c>
      <c r="T11" s="163" t="inlineStr">
        <is>
          <t>—</t>
        </is>
      </c>
      <c r="U11" s="163" t="inlineStr">
        <is>
          <t>—</t>
        </is>
      </c>
      <c r="V11" s="163" t="inlineStr">
        <is>
          <t>—</t>
        </is>
      </c>
      <c r="W11" s="163" t="inlineStr">
        <is>
          <t>—</t>
        </is>
      </c>
      <c r="X11" s="163" t="inlineStr">
        <is>
          <t>—</t>
        </is>
      </c>
      <c r="Y11" s="163" t="inlineStr">
        <is>
          <t>—</t>
        </is>
      </c>
      <c r="Z11" s="163" t="inlineStr">
        <is>
          <t>—</t>
        </is>
      </c>
      <c r="AA11" s="163" t="inlineStr">
        <is>
          <t>—</t>
        </is>
      </c>
      <c r="AB11" s="163" t="inlineStr">
        <is>
          <t>—</t>
        </is>
      </c>
      <c r="AC11" s="163" t="inlineStr">
        <is>
          <t>—</t>
        </is>
      </c>
      <c r="AD11" s="163" t="inlineStr">
        <is>
          <t>—</t>
        </is>
      </c>
      <c r="AE11" s="163" t="inlineStr">
        <is>
          <t>—</t>
        </is>
      </c>
      <c r="AF11" s="163" t="inlineStr">
        <is>
          <t>—</t>
        </is>
      </c>
      <c r="AG11" s="163" t="inlineStr">
        <is>
          <t>—</t>
        </is>
      </c>
    </row>
    <row r="12" ht="48" customHeight="1">
      <c r="A12" s="166" t="inlineStr">
        <is>
          <t>Level D
(~18–24ft)</t>
        </is>
      </c>
      <c r="B12" s="163" t="inlineStr">
        <is>
          <t>—</t>
        </is>
      </c>
      <c r="C12" s="163" t="inlineStr">
        <is>
          <t>—</t>
        </is>
      </c>
      <c r="D12" s="163" t="inlineStr">
        <is>
          <t>—</t>
        </is>
      </c>
      <c r="E12" s="163" t="inlineStr">
        <is>
          <t>—</t>
        </is>
      </c>
      <c r="F12" s="163" t="inlineStr">
        <is>
          <t>—</t>
        </is>
      </c>
      <c r="G12" s="163" t="inlineStr">
        <is>
          <t>—</t>
        </is>
      </c>
      <c r="H12" s="163" t="inlineStr">
        <is>
          <t>—</t>
        </is>
      </c>
      <c r="I12" s="163" t="inlineStr">
        <is>
          <t>—</t>
        </is>
      </c>
      <c r="J12" s="163" t="inlineStr">
        <is>
          <t>—</t>
        </is>
      </c>
      <c r="K12" s="163" t="inlineStr">
        <is>
          <t>—</t>
        </is>
      </c>
      <c r="L12" s="163" t="inlineStr">
        <is>
          <t>—</t>
        </is>
      </c>
      <c r="M12" s="163" t="inlineStr">
        <is>
          <t>—</t>
        </is>
      </c>
      <c r="N12" s="163" t="inlineStr">
        <is>
          <t>—</t>
        </is>
      </c>
      <c r="O12" s="163" t="inlineStr">
        <is>
          <t>—</t>
        </is>
      </c>
      <c r="P12" s="163" t="inlineStr">
        <is>
          <t>—</t>
        </is>
      </c>
      <c r="Q12" s="163" t="inlineStr">
        <is>
          <t>—</t>
        </is>
      </c>
      <c r="R12" s="163" t="inlineStr">
        <is>
          <t>—</t>
        </is>
      </c>
      <c r="S12" s="163" t="inlineStr">
        <is>
          <t>—</t>
        </is>
      </c>
      <c r="T12" s="163" t="inlineStr">
        <is>
          <t>—</t>
        </is>
      </c>
      <c r="U12" s="163" t="inlineStr">
        <is>
          <t>—</t>
        </is>
      </c>
      <c r="V12" s="163" t="inlineStr">
        <is>
          <t>—</t>
        </is>
      </c>
      <c r="W12" s="163" t="inlineStr">
        <is>
          <t>—</t>
        </is>
      </c>
      <c r="X12" s="163" t="inlineStr">
        <is>
          <t>—</t>
        </is>
      </c>
      <c r="Y12" s="163" t="inlineStr">
        <is>
          <t>—</t>
        </is>
      </c>
      <c r="Z12" s="163" t="inlineStr">
        <is>
          <t>—</t>
        </is>
      </c>
      <c r="AA12" s="163" t="inlineStr">
        <is>
          <t>—</t>
        </is>
      </c>
      <c r="AB12" s="163" t="inlineStr">
        <is>
          <t>—</t>
        </is>
      </c>
      <c r="AC12" s="163" t="inlineStr">
        <is>
          <t>—</t>
        </is>
      </c>
      <c r="AD12" s="163" t="inlineStr">
        <is>
          <t>—</t>
        </is>
      </c>
      <c r="AE12" s="163" t="inlineStr">
        <is>
          <t>—</t>
        </is>
      </c>
      <c r="AF12" s="163" t="inlineStr">
        <is>
          <t>—</t>
        </is>
      </c>
      <c r="AG12" s="163" t="inlineStr">
        <is>
          <t>—</t>
        </is>
      </c>
    </row>
    <row r="13" ht="19.5" customHeight="1">
      <c r="A13" s="269" t="inlineStr">
        <is>
          <t>Rack 30 | 16 columns × 4 levels × 2 pallets = 128 total pallet spaces  |  Design B: TARGET-only rack  |  SKUs assigned: 7 cells  |  Available: 57 cells</t>
        </is>
      </c>
    </row>
    <row r="14" ht="9.75" customHeight="1"/>
    <row r="15" ht="19.5" customHeight="1">
      <c r="A15" s="263" t="inlineStr">
        <is>
          <t>RACK 31 — AMAZON SKUs ONLY  |  25 SKUs across 16 columns  |  A-class → Level A  |  B-class → Level A  |  C-class → Level B/C</t>
        </is>
      </c>
    </row>
    <row r="16" ht="18" customHeight="1">
      <c r="A16" s="264" t="inlineStr">
        <is>
          <t xml:space="preserve">  Level A — PRIME (~0–6 ft, ground, immediate forklift access)</t>
        </is>
      </c>
      <c r="B16" s="284" t="n"/>
      <c r="C16" s="284" t="n"/>
      <c r="D16" s="284" t="n"/>
      <c r="E16" s="284" t="n"/>
      <c r="F16" s="284" t="n"/>
      <c r="G16" s="284" t="n"/>
      <c r="H16" s="284" t="n"/>
      <c r="I16" s="265" t="inlineStr">
        <is>
          <t xml:space="preserve">  Level B — HIGH (~6–12 ft, second level, fast access)</t>
        </is>
      </c>
      <c r="J16" s="284" t="n"/>
      <c r="K16" s="284" t="n"/>
      <c r="L16" s="284" t="n"/>
      <c r="M16" s="284" t="n"/>
      <c r="N16" s="284" t="n"/>
      <c r="O16" s="284" t="n"/>
      <c r="P16" s="284" t="n"/>
      <c r="Q16" s="266" t="inlineStr">
        <is>
          <t xml:space="preserve">  Level C — MEDIUM (~12–18 ft, moderate reach)</t>
        </is>
      </c>
      <c r="R16" s="284" t="n"/>
      <c r="S16" s="284" t="n"/>
      <c r="T16" s="284" t="n"/>
      <c r="U16" s="284" t="n"/>
      <c r="V16" s="284" t="n"/>
      <c r="W16" s="284" t="n"/>
      <c r="X16" s="284" t="n"/>
      <c r="Y16" s="267" t="inlineStr">
        <is>
          <t xml:space="preserve">  Level D — UPPER (~18–24 ft, slowest access)</t>
        </is>
      </c>
      <c r="Z16" s="284" t="n"/>
      <c r="AA16" s="284" t="n"/>
      <c r="AB16" s="284" t="n"/>
      <c r="AC16" s="284" t="n"/>
      <c r="AD16" s="284" t="n"/>
      <c r="AE16" s="284" t="n"/>
      <c r="AF16" s="284" t="n"/>
    </row>
    <row r="17" ht="3.75" customHeight="1"/>
    <row r="18" ht="19.5" customHeight="1">
      <c r="A18" s="159" t="inlineStr">
        <is>
          <t>LEVEL</t>
        </is>
      </c>
      <c r="B18" s="268" t="inlineStr">
        <is>
          <t>Col 1</t>
        </is>
      </c>
      <c r="C18" s="284" t="n"/>
      <c r="D18" s="270" t="inlineStr">
        <is>
          <t>Col 2</t>
        </is>
      </c>
      <c r="E18" s="284" t="n"/>
      <c r="F18" s="268" t="inlineStr">
        <is>
          <t>Col 3</t>
        </is>
      </c>
      <c r="G18" s="284" t="n"/>
      <c r="H18" s="270" t="inlineStr">
        <is>
          <t>Col 4</t>
        </is>
      </c>
      <c r="I18" s="284" t="n"/>
      <c r="J18" s="268" t="inlineStr">
        <is>
          <t>Col 5</t>
        </is>
      </c>
      <c r="K18" s="284" t="n"/>
      <c r="L18" s="270" t="inlineStr">
        <is>
          <t>Col 6</t>
        </is>
      </c>
      <c r="M18" s="284" t="n"/>
      <c r="N18" s="268" t="inlineStr">
        <is>
          <t>Col 7</t>
        </is>
      </c>
      <c r="O18" s="284" t="n"/>
      <c r="P18" s="270" t="inlineStr">
        <is>
          <t>Col 8</t>
        </is>
      </c>
      <c r="Q18" s="284" t="n"/>
      <c r="R18" s="268" t="inlineStr">
        <is>
          <t>Col 9</t>
        </is>
      </c>
      <c r="S18" s="284" t="n"/>
      <c r="T18" s="270" t="inlineStr">
        <is>
          <t>Col 10</t>
        </is>
      </c>
      <c r="U18" s="284" t="n"/>
      <c r="V18" s="268" t="inlineStr">
        <is>
          <t>Col 11</t>
        </is>
      </c>
      <c r="W18" s="284" t="n"/>
      <c r="X18" s="270" t="inlineStr">
        <is>
          <t>Col 12</t>
        </is>
      </c>
      <c r="Y18" s="284" t="n"/>
      <c r="Z18" s="268" t="inlineStr">
        <is>
          <t>Col 13</t>
        </is>
      </c>
      <c r="AA18" s="284" t="n"/>
      <c r="AB18" s="270" t="inlineStr">
        <is>
          <t>Col 14</t>
        </is>
      </c>
      <c r="AC18" s="284" t="n"/>
      <c r="AD18" s="268" t="inlineStr">
        <is>
          <t>Col 15</t>
        </is>
      </c>
      <c r="AE18" s="284" t="n"/>
      <c r="AF18" s="270" t="inlineStr">
        <is>
          <t>Col 16</t>
        </is>
      </c>
      <c r="AG18" s="284" t="n"/>
    </row>
    <row r="19" ht="15.75" customHeight="1">
      <c r="A19" s="52" t="n"/>
      <c r="B19" s="160" t="inlineStr">
        <is>
          <t>Pallet 1</t>
        </is>
      </c>
      <c r="C19" s="160" t="inlineStr">
        <is>
          <t>Pallet 2</t>
        </is>
      </c>
      <c r="D19" s="160" t="inlineStr">
        <is>
          <t>Pallet 1</t>
        </is>
      </c>
      <c r="E19" s="160" t="inlineStr">
        <is>
          <t>Pallet 2</t>
        </is>
      </c>
      <c r="F19" s="160" t="inlineStr">
        <is>
          <t>Pallet 1</t>
        </is>
      </c>
      <c r="G19" s="160" t="inlineStr">
        <is>
          <t>Pallet 2</t>
        </is>
      </c>
      <c r="H19" s="160" t="inlineStr">
        <is>
          <t>Pallet 1</t>
        </is>
      </c>
      <c r="I19" s="160" t="inlineStr">
        <is>
          <t>Pallet 2</t>
        </is>
      </c>
      <c r="J19" s="160" t="inlineStr">
        <is>
          <t>Pallet 1</t>
        </is>
      </c>
      <c r="K19" s="160" t="inlineStr">
        <is>
          <t>Pallet 2</t>
        </is>
      </c>
      <c r="L19" s="160" t="inlineStr">
        <is>
          <t>Pallet 1</t>
        </is>
      </c>
      <c r="M19" s="160" t="inlineStr">
        <is>
          <t>Pallet 2</t>
        </is>
      </c>
      <c r="N19" s="160" t="inlineStr">
        <is>
          <t>Pallet 1</t>
        </is>
      </c>
      <c r="O19" s="160" t="inlineStr">
        <is>
          <t>Pallet 2</t>
        </is>
      </c>
      <c r="P19" s="160" t="inlineStr">
        <is>
          <t>Pallet 1</t>
        </is>
      </c>
      <c r="Q19" s="160" t="inlineStr">
        <is>
          <t>Pallet 2</t>
        </is>
      </c>
      <c r="R19" s="160" t="inlineStr">
        <is>
          <t>Pallet 1</t>
        </is>
      </c>
      <c r="S19" s="160" t="inlineStr">
        <is>
          <t>Pallet 2</t>
        </is>
      </c>
      <c r="T19" s="160" t="inlineStr">
        <is>
          <t>Pallet 1</t>
        </is>
      </c>
      <c r="U19" s="160" t="inlineStr">
        <is>
          <t>Pallet 2</t>
        </is>
      </c>
      <c r="V19" s="160" t="inlineStr">
        <is>
          <t>Pallet 1</t>
        </is>
      </c>
      <c r="W19" s="160" t="inlineStr">
        <is>
          <t>Pallet 2</t>
        </is>
      </c>
      <c r="X19" s="160" t="inlineStr">
        <is>
          <t>Pallet 1</t>
        </is>
      </c>
      <c r="Y19" s="160" t="inlineStr">
        <is>
          <t>Pallet 2</t>
        </is>
      </c>
      <c r="Z19" s="160" t="inlineStr">
        <is>
          <t>Pallet 1</t>
        </is>
      </c>
      <c r="AA19" s="160" t="inlineStr">
        <is>
          <t>Pallet 2</t>
        </is>
      </c>
      <c r="AB19" s="160" t="inlineStr">
        <is>
          <t>Pallet 1</t>
        </is>
      </c>
      <c r="AC19" s="160" t="inlineStr">
        <is>
          <t>Pallet 2</t>
        </is>
      </c>
      <c r="AD19" s="160" t="inlineStr">
        <is>
          <t>Pallet 1</t>
        </is>
      </c>
      <c r="AE19" s="160" t="inlineStr">
        <is>
          <t>Pallet 2</t>
        </is>
      </c>
      <c r="AF19" s="160" t="inlineStr">
        <is>
          <t>Pallet 1</t>
        </is>
      </c>
      <c r="AG19" s="160" t="inlineStr">
        <is>
          <t>Pallet 2</t>
        </is>
      </c>
    </row>
    <row r="20" ht="48" customHeight="1">
      <c r="A20" s="161" t="inlineStr">
        <is>
          <t>Level A
(~0–6ft)</t>
        </is>
      </c>
      <c r="B20" s="167" t="inlineStr">
        <is>
          <t>[AMA]
95612
WS Allulose Liquid 6ct</t>
        </is>
      </c>
      <c r="C20" s="167" t="inlineStr">
        <is>
          <t>[AMA]
95612
WS Allulose Liquid 6ct</t>
        </is>
      </c>
      <c r="D20" s="167" t="inlineStr">
        <is>
          <t>[AMA]
45022
WS FT Molasses 12-32oz</t>
        </is>
      </c>
      <c r="E20" s="167" t="inlineStr">
        <is>
          <t>[AMA]
45022
WS FT Molasses 12-32oz</t>
        </is>
      </c>
      <c r="F20" s="167" t="inlineStr">
        <is>
          <t>[AMA]
32004
WSI Org ECJ PWD 6ct-1lb</t>
        </is>
      </c>
      <c r="G20" s="167" t="inlineStr">
        <is>
          <t>[AMA]
32004
WSI Org ECJ PWD 6ct-1lb</t>
        </is>
      </c>
      <c r="H20" s="167" t="inlineStr">
        <is>
          <t>[AMA]
95812
W Allulose 8ct-12oz</t>
        </is>
      </c>
      <c r="I20" s="167" t="inlineStr">
        <is>
          <t>[AMA]
95812
W Allulose 8ct-12oz</t>
        </is>
      </c>
      <c r="J20" s="167" t="inlineStr">
        <is>
          <t>[AMA]
46410
WS FT Org Sugar 4-10lb</t>
        </is>
      </c>
      <c r="K20" s="167" t="inlineStr">
        <is>
          <t>[AMA]
46410
WS FT Org Sugar 4-10lb</t>
        </is>
      </c>
      <c r="L20" s="167" t="inlineStr">
        <is>
          <t>[AMA]
45021
WS FT Molasses 12-16oz</t>
        </is>
      </c>
      <c r="M20" s="167" t="inlineStr">
        <is>
          <t>[AMA]
45021
WS FT Molasses 12-16oz</t>
        </is>
      </c>
      <c r="N20" s="167" t="inlineStr">
        <is>
          <t>[AMA]
44652
FT Org Dk Brown 6ct-1.5lb</t>
        </is>
      </c>
      <c r="O20" s="167" t="inlineStr">
        <is>
          <t>[AMA]
44652
FT Org Dk Brown 6ct-1.5lb</t>
        </is>
      </c>
      <c r="P20" s="163" t="inlineStr">
        <is>
          <t>—</t>
        </is>
      </c>
      <c r="Q20" s="163" t="inlineStr">
        <is>
          <t>—</t>
        </is>
      </c>
      <c r="R20" s="163" t="inlineStr">
        <is>
          <t>—</t>
        </is>
      </c>
      <c r="S20" s="163" t="inlineStr">
        <is>
          <t>—</t>
        </is>
      </c>
      <c r="T20" s="163" t="inlineStr">
        <is>
          <t>—</t>
        </is>
      </c>
      <c r="U20" s="163" t="inlineStr">
        <is>
          <t>—</t>
        </is>
      </c>
      <c r="V20" s="163" t="inlineStr">
        <is>
          <t>—</t>
        </is>
      </c>
      <c r="W20" s="163" t="inlineStr">
        <is>
          <t>—</t>
        </is>
      </c>
      <c r="X20" s="163" t="inlineStr">
        <is>
          <t>—</t>
        </is>
      </c>
      <c r="Y20" s="163" t="inlineStr">
        <is>
          <t>—</t>
        </is>
      </c>
      <c r="Z20" s="163" t="inlineStr">
        <is>
          <t>—</t>
        </is>
      </c>
      <c r="AA20" s="163" t="inlineStr">
        <is>
          <t>—</t>
        </is>
      </c>
      <c r="AB20" s="163" t="inlineStr">
        <is>
          <t>—</t>
        </is>
      </c>
      <c r="AC20" s="163" t="inlineStr">
        <is>
          <t>—</t>
        </is>
      </c>
      <c r="AD20" s="163" t="inlineStr">
        <is>
          <t>—</t>
        </is>
      </c>
      <c r="AE20" s="163" t="inlineStr">
        <is>
          <t>—</t>
        </is>
      </c>
      <c r="AF20" s="163" t="inlineStr">
        <is>
          <t>—</t>
        </is>
      </c>
      <c r="AG20" s="163" t="inlineStr">
        <is>
          <t>—</t>
        </is>
      </c>
    </row>
    <row r="21" ht="48" customHeight="1">
      <c r="A21" s="164" t="inlineStr">
        <is>
          <t>Level B
(~6–12ft)</t>
        </is>
      </c>
      <c r="B21" s="163" t="inlineStr">
        <is>
          <t>—</t>
        </is>
      </c>
      <c r="C21" s="163" t="inlineStr">
        <is>
          <t>—</t>
        </is>
      </c>
      <c r="D21" s="163" t="inlineStr">
        <is>
          <t>—</t>
        </is>
      </c>
      <c r="E21" s="163" t="inlineStr">
        <is>
          <t>—</t>
        </is>
      </c>
      <c r="F21" s="163" t="inlineStr">
        <is>
          <t>—</t>
        </is>
      </c>
      <c r="G21" s="163" t="inlineStr">
        <is>
          <t>—</t>
        </is>
      </c>
      <c r="H21" s="163" t="inlineStr">
        <is>
          <t>—</t>
        </is>
      </c>
      <c r="I21" s="163" t="inlineStr">
        <is>
          <t>—</t>
        </is>
      </c>
      <c r="J21" s="163" t="inlineStr">
        <is>
          <t>—</t>
        </is>
      </c>
      <c r="K21" s="163" t="inlineStr">
        <is>
          <t>—</t>
        </is>
      </c>
      <c r="L21" s="163" t="inlineStr">
        <is>
          <t>—</t>
        </is>
      </c>
      <c r="M21" s="163" t="inlineStr">
        <is>
          <t>—</t>
        </is>
      </c>
      <c r="N21" s="163" t="inlineStr">
        <is>
          <t>—</t>
        </is>
      </c>
      <c r="O21" s="163" t="inlineStr">
        <is>
          <t>—</t>
        </is>
      </c>
      <c r="P21" s="167" t="inlineStr">
        <is>
          <t>[AMA]
94675
Org Stevia 6ct 75-1g</t>
        </is>
      </c>
      <c r="Q21" s="167" t="inlineStr">
        <is>
          <t>[AMA]
94675
Org Stevia 6ct 75-1g</t>
        </is>
      </c>
      <c r="R21" s="167" t="inlineStr">
        <is>
          <t>[AMA]
92106
Org Coconut Palm 6ct-1lb</t>
        </is>
      </c>
      <c r="S21" s="167" t="inlineStr">
        <is>
          <t>[AMA]
92106
Org Coconut Palm 6ct-1lb</t>
        </is>
      </c>
      <c r="T21" s="167" t="inlineStr">
        <is>
          <t>[AMA]
20441
Blue Agave 6-44oz</t>
        </is>
      </c>
      <c r="U21" s="167" t="inlineStr">
        <is>
          <t>[AMA]
20441
Blue Agave 6-44oz</t>
        </is>
      </c>
      <c r="V21" s="167" t="inlineStr">
        <is>
          <t>[AMA]
45026
FT Org Sucanat 12ct-2lb</t>
        </is>
      </c>
      <c r="W21" s="167" t="inlineStr">
        <is>
          <t>[AMA]
45026
FT Org Sucanat 12ct-2lb</t>
        </is>
      </c>
      <c r="X21" s="167" t="inlineStr">
        <is>
          <t>[AMA]
32134
Lt Brown Muscovado 10-1lb</t>
        </is>
      </c>
      <c r="Y21" s="167" t="inlineStr">
        <is>
          <t>[AMA]
32134
Lt Brown Muscovado 10-1lb</t>
        </is>
      </c>
      <c r="Z21" s="167" t="inlineStr">
        <is>
          <t>[AMA]
45036
Org Sugar 6ct-2lb</t>
        </is>
      </c>
      <c r="AA21" s="167" t="inlineStr">
        <is>
          <t>[AMA]
45036
Org Sugar 6ct-2lb</t>
        </is>
      </c>
      <c r="AB21" s="167" t="inlineStr">
        <is>
          <t>[AMA]
32139
Nat Demerara 10-1lb</t>
        </is>
      </c>
      <c r="AC21" s="167" t="inlineStr">
        <is>
          <t>[AMA]
32139
Nat Demerara 10-1lb</t>
        </is>
      </c>
      <c r="AD21" s="167" t="inlineStr">
        <is>
          <t>[AMA]
20231
Org Blue Agave 6-23.5oz</t>
        </is>
      </c>
      <c r="AE21" s="167" t="inlineStr">
        <is>
          <t>[AMA]
20231
Org Blue Agave 6-23.5oz</t>
        </is>
      </c>
      <c r="AF21" s="163" t="inlineStr">
        <is>
          <t>—</t>
        </is>
      </c>
      <c r="AG21" s="163" t="inlineStr">
        <is>
          <t>—</t>
        </is>
      </c>
    </row>
    <row r="22" ht="48" customHeight="1">
      <c r="A22" s="165" t="inlineStr">
        <is>
          <t>Level C
(~12–18ft)</t>
        </is>
      </c>
      <c r="B22" s="163" t="inlineStr">
        <is>
          <t>—</t>
        </is>
      </c>
      <c r="C22" s="163" t="inlineStr">
        <is>
          <t>—</t>
        </is>
      </c>
      <c r="D22" s="163" t="inlineStr">
        <is>
          <t>—</t>
        </is>
      </c>
      <c r="E22" s="163" t="inlineStr">
        <is>
          <t>—</t>
        </is>
      </c>
      <c r="F22" s="163" t="inlineStr">
        <is>
          <t>—</t>
        </is>
      </c>
      <c r="G22" s="163" t="inlineStr">
        <is>
          <t>—</t>
        </is>
      </c>
      <c r="H22" s="163" t="inlineStr">
        <is>
          <t>—</t>
        </is>
      </c>
      <c r="I22" s="163" t="inlineStr">
        <is>
          <t>—</t>
        </is>
      </c>
      <c r="J22" s="163" t="inlineStr">
        <is>
          <t>—</t>
        </is>
      </c>
      <c r="K22" s="163" t="inlineStr">
        <is>
          <t>—</t>
        </is>
      </c>
      <c r="L22" s="163" t="inlineStr">
        <is>
          <t>—</t>
        </is>
      </c>
      <c r="M22" s="163" t="inlineStr">
        <is>
          <t>—</t>
        </is>
      </c>
      <c r="N22" s="163" t="inlineStr">
        <is>
          <t>—</t>
        </is>
      </c>
      <c r="O22" s="163" t="inlineStr">
        <is>
          <t>—</t>
        </is>
      </c>
      <c r="P22" s="163" t="inlineStr">
        <is>
          <t>—</t>
        </is>
      </c>
      <c r="Q22" s="163" t="inlineStr">
        <is>
          <t>—</t>
        </is>
      </c>
      <c r="R22" s="163" t="inlineStr">
        <is>
          <t>—</t>
        </is>
      </c>
      <c r="S22" s="163" t="inlineStr">
        <is>
          <t>—</t>
        </is>
      </c>
      <c r="T22" s="163" t="inlineStr">
        <is>
          <t>—</t>
        </is>
      </c>
      <c r="U22" s="163" t="inlineStr">
        <is>
          <t>—</t>
        </is>
      </c>
      <c r="V22" s="163" t="inlineStr">
        <is>
          <t>—</t>
        </is>
      </c>
      <c r="W22" s="163" t="inlineStr">
        <is>
          <t>—</t>
        </is>
      </c>
      <c r="X22" s="163" t="inlineStr">
        <is>
          <t>—</t>
        </is>
      </c>
      <c r="Y22" s="163" t="inlineStr">
        <is>
          <t>—</t>
        </is>
      </c>
      <c r="Z22" s="163" t="inlineStr">
        <is>
          <t>—</t>
        </is>
      </c>
      <c r="AA22" s="163" t="inlineStr">
        <is>
          <t>—</t>
        </is>
      </c>
      <c r="AB22" s="163" t="inlineStr">
        <is>
          <t>—</t>
        </is>
      </c>
      <c r="AC22" s="163" t="inlineStr">
        <is>
          <t>—</t>
        </is>
      </c>
      <c r="AD22" s="163" t="inlineStr">
        <is>
          <t>—</t>
        </is>
      </c>
      <c r="AE22" s="163" t="inlineStr">
        <is>
          <t>—</t>
        </is>
      </c>
      <c r="AF22" s="167" t="inlineStr">
        <is>
          <t>[AMA]
45641
Regen Lt Brown Sugar 6ct</t>
        </is>
      </c>
      <c r="AG22" s="167" t="inlineStr">
        <is>
          <t>[AMA]
45641
Regen Lt Brown Sugar 6ct</t>
        </is>
      </c>
    </row>
    <row r="23" ht="48" customHeight="1">
      <c r="A23" s="166" t="inlineStr">
        <is>
          <t>Level D
(~18–24ft)</t>
        </is>
      </c>
      <c r="B23" s="163" t="inlineStr">
        <is>
          <t>—</t>
        </is>
      </c>
      <c r="C23" s="163" t="inlineStr">
        <is>
          <t>—</t>
        </is>
      </c>
      <c r="D23" s="163" t="inlineStr">
        <is>
          <t>—</t>
        </is>
      </c>
      <c r="E23" s="163" t="inlineStr">
        <is>
          <t>—</t>
        </is>
      </c>
      <c r="F23" s="163" t="inlineStr">
        <is>
          <t>—</t>
        </is>
      </c>
      <c r="G23" s="163" t="inlineStr">
        <is>
          <t>—</t>
        </is>
      </c>
      <c r="H23" s="163" t="inlineStr">
        <is>
          <t>—</t>
        </is>
      </c>
      <c r="I23" s="163" t="inlineStr">
        <is>
          <t>—</t>
        </is>
      </c>
      <c r="J23" s="163" t="inlineStr">
        <is>
          <t>—</t>
        </is>
      </c>
      <c r="K23" s="163" t="inlineStr">
        <is>
          <t>—</t>
        </is>
      </c>
      <c r="L23" s="163" t="inlineStr">
        <is>
          <t>—</t>
        </is>
      </c>
      <c r="M23" s="163" t="inlineStr">
        <is>
          <t>—</t>
        </is>
      </c>
      <c r="N23" s="163" t="inlineStr">
        <is>
          <t>—</t>
        </is>
      </c>
      <c r="O23" s="163" t="inlineStr">
        <is>
          <t>—</t>
        </is>
      </c>
      <c r="P23" s="163" t="inlineStr">
        <is>
          <t>—</t>
        </is>
      </c>
      <c r="Q23" s="163" t="inlineStr">
        <is>
          <t>—</t>
        </is>
      </c>
      <c r="R23" s="163" t="inlineStr">
        <is>
          <t>—</t>
        </is>
      </c>
      <c r="S23" s="163" t="inlineStr">
        <is>
          <t>—</t>
        </is>
      </c>
      <c r="T23" s="163" t="inlineStr">
        <is>
          <t>—</t>
        </is>
      </c>
      <c r="U23" s="163" t="inlineStr">
        <is>
          <t>—</t>
        </is>
      </c>
      <c r="V23" s="163" t="inlineStr">
        <is>
          <t>—</t>
        </is>
      </c>
      <c r="W23" s="163" t="inlineStr">
        <is>
          <t>—</t>
        </is>
      </c>
      <c r="X23" s="163" t="inlineStr">
        <is>
          <t>—</t>
        </is>
      </c>
      <c r="Y23" s="163" t="inlineStr">
        <is>
          <t>—</t>
        </is>
      </c>
      <c r="Z23" s="163" t="inlineStr">
        <is>
          <t>—</t>
        </is>
      </c>
      <c r="AA23" s="163" t="inlineStr">
        <is>
          <t>—</t>
        </is>
      </c>
      <c r="AB23" s="163" t="inlineStr">
        <is>
          <t>—</t>
        </is>
      </c>
      <c r="AC23" s="163" t="inlineStr">
        <is>
          <t>—</t>
        </is>
      </c>
      <c r="AD23" s="163" t="inlineStr">
        <is>
          <t>—</t>
        </is>
      </c>
      <c r="AE23" s="163" t="inlineStr">
        <is>
          <t>—</t>
        </is>
      </c>
      <c r="AF23" s="163" t="inlineStr">
        <is>
          <t>—</t>
        </is>
      </c>
      <c r="AG23" s="163" t="inlineStr">
        <is>
          <t>—</t>
        </is>
      </c>
    </row>
    <row r="24" ht="19.5" customHeight="1">
      <c r="A24" s="269" t="inlineStr">
        <is>
          <t>Rack 31 | 16 columns × 4 levels × 2 pallets = 128 total pallet spaces  |  Design B: AMAZON-only rack  |  SKUs assigned: 16 cells  |  Available: 48 cells</t>
        </is>
      </c>
    </row>
  </sheetData>
  <mergeCells count="46">
    <mergeCell ref="AF18:AG18"/>
    <mergeCell ref="L7:M7"/>
    <mergeCell ref="B7:C7"/>
    <mergeCell ref="Q16:X16"/>
    <mergeCell ref="N7:O7"/>
    <mergeCell ref="B18:C18"/>
    <mergeCell ref="A15:AI15"/>
    <mergeCell ref="F7:G7"/>
    <mergeCell ref="X7:Y7"/>
    <mergeCell ref="Z7:AA7"/>
    <mergeCell ref="R7:S7"/>
    <mergeCell ref="A16:H16"/>
    <mergeCell ref="A1:AI1"/>
    <mergeCell ref="F18:G18"/>
    <mergeCell ref="L18:M18"/>
    <mergeCell ref="I16:P16"/>
    <mergeCell ref="Y5:AF5"/>
    <mergeCell ref="N18:O18"/>
    <mergeCell ref="Q5:X5"/>
    <mergeCell ref="T18:U18"/>
    <mergeCell ref="X18:Y18"/>
    <mergeCell ref="Z18:AA18"/>
    <mergeCell ref="D7:E7"/>
    <mergeCell ref="P7:Q7"/>
    <mergeCell ref="Y16:AF16"/>
    <mergeCell ref="H7:I7"/>
    <mergeCell ref="J7:K7"/>
    <mergeCell ref="D18:E18"/>
    <mergeCell ref="A5:H5"/>
    <mergeCell ref="I5:P5"/>
    <mergeCell ref="A13:AG13"/>
    <mergeCell ref="P18:Q18"/>
    <mergeCell ref="V7:W7"/>
    <mergeCell ref="AB7:AC7"/>
    <mergeCell ref="A2:AI2"/>
    <mergeCell ref="AD7:AE7"/>
    <mergeCell ref="T7:U7"/>
    <mergeCell ref="AF7:AG7"/>
    <mergeCell ref="H18:I18"/>
    <mergeCell ref="A24:AG24"/>
    <mergeCell ref="J18:K18"/>
    <mergeCell ref="R18:S18"/>
    <mergeCell ref="A4:AI4"/>
    <mergeCell ref="V18:W18"/>
    <mergeCell ref="AB18:AC18"/>
    <mergeCell ref="AD18:AE18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I24" zoomScaleNormal="100" workbookViewId="0">
      <selection activeCell="J32" sqref="J32"/>
    </sheetView>
  </sheetViews>
  <sheetFormatPr baseColWidth="8" defaultColWidth="8.5703125" defaultRowHeight="14.45"/>
  <cols>
    <col width="6" customWidth="1" min="1" max="1"/>
    <col width="9" customWidth="1" min="2" max="2"/>
    <col width="26" customWidth="1" min="3" max="3"/>
    <col width="7" customWidth="1" min="4" max="4"/>
    <col width="10" customWidth="1" min="5" max="5"/>
    <col width="8" customWidth="1" min="6" max="6"/>
    <col width="11" customWidth="1" min="7" max="7"/>
    <col width="12" customWidth="1" min="8" max="8"/>
    <col width="10" customWidth="1" min="9" max="9"/>
    <col width="7" customWidth="1" min="10" max="10"/>
    <col width="9" customWidth="1" min="11" max="11"/>
    <col width="8" customWidth="1" min="12" max="12"/>
    <col width="18" customWidth="1" min="13" max="13"/>
    <col width="32" customWidth="1" min="14" max="14"/>
  </cols>
  <sheetData>
    <row r="1" ht="33.75" customHeight="1">
      <c r="A1" s="261" t="inlineStr">
        <is>
          <t>DESIGN B — SKU Assignment Tables  |  Customer-Separated Zones</t>
        </is>
      </c>
    </row>
    <row r="2" ht="15.75" customHeight="1">
      <c r="A2" s="262" t="inlineStr">
        <is>
          <t>Rack 30 = Target only | Rack 31 = Amazon only | A-class always Level A | B-class Level A or B | C-class Level B/C</t>
        </is>
      </c>
    </row>
    <row r="3" ht="21.75" customHeight="1">
      <c r="A3" s="212" t="inlineStr">
        <is>
          <t>🎯  TARGET SKUs — Design B</t>
        </is>
      </c>
    </row>
    <row r="4" ht="27.75" customHeight="1">
      <c r="A4" s="168" t="inlineStr">
        <is>
          <t>Rank</t>
        </is>
      </c>
      <c r="B4" s="168" t="inlineStr">
        <is>
          <t>Item #</t>
        </is>
      </c>
      <c r="C4" s="168" t="inlineStr">
        <is>
          <t>Short Description</t>
        </is>
      </c>
      <c r="D4" s="168" t="inlineStr">
        <is>
          <t>ABC</t>
        </is>
      </c>
      <c r="E4" s="168" t="inlineStr">
        <is>
          <t>Total
Cases</t>
        </is>
      </c>
      <c r="F4" s="168" t="inlineStr">
        <is>
          <t># Orders</t>
        </is>
      </c>
      <c r="G4" s="168" t="inlineStr">
        <is>
          <t>Avg Cases
/ Order</t>
        </is>
      </c>
      <c r="H4" s="168" t="inlineStr">
        <is>
          <t>Full Pallet
Cap</t>
        </is>
      </c>
      <c r="I4" s="168" t="inlineStr">
        <is>
          <t>Pallets
/ Batch</t>
        </is>
      </c>
      <c r="J4" s="168" t="inlineStr">
        <is>
          <t>Rack</t>
        </is>
      </c>
      <c r="K4" s="168" t="inlineStr">
        <is>
          <t>Column</t>
        </is>
      </c>
      <c r="L4" s="168" t="inlineStr">
        <is>
          <t>Level</t>
        </is>
      </c>
      <c r="M4" s="168" t="inlineStr">
        <is>
          <t>Cell Address</t>
        </is>
      </c>
      <c r="N4" s="168" t="inlineStr">
        <is>
          <t>Rationale</t>
        </is>
      </c>
    </row>
    <row r="5" ht="19.5" customHeight="1">
      <c r="A5" s="169" t="n">
        <v>1</v>
      </c>
      <c r="B5" s="170" t="inlineStr">
        <is>
          <t>62632</t>
        </is>
      </c>
      <c r="C5" s="171" t="inlineStr">
        <is>
          <t>GG Org Sugar 6ct-2lb</t>
        </is>
      </c>
      <c r="D5" s="172" t="inlineStr">
        <is>
          <t>A</t>
        </is>
      </c>
      <c r="E5" s="173" t="n">
        <v>13157</v>
      </c>
      <c r="F5" s="174" t="n">
        <v>182</v>
      </c>
      <c r="G5" s="175" t="n">
        <v>72.3</v>
      </c>
      <c r="H5" s="174" t="n">
        <v>156</v>
      </c>
      <c r="I5" s="176" t="n">
        <v>9.4</v>
      </c>
      <c r="J5" s="170" t="n">
        <v>30</v>
      </c>
      <c r="K5" s="174" t="n">
        <v>1</v>
      </c>
      <c r="L5" s="177" t="inlineStr">
        <is>
          <t>A</t>
        </is>
      </c>
      <c r="M5" s="178" t="inlineStr">
        <is>
          <t>R30-C01-A</t>
        </is>
      </c>
      <c r="N5" s="179" t="inlineStr">
        <is>
          <t>Ground — fastest forklift</t>
        </is>
      </c>
    </row>
    <row r="6" ht="19.5" customHeight="1">
      <c r="A6" s="180" t="n">
        <v>2</v>
      </c>
      <c r="B6" s="181" t="inlineStr">
        <is>
          <t>62641</t>
        </is>
      </c>
      <c r="C6" s="182" t="inlineStr">
        <is>
          <t>GG Org Lt Brown 6ct-1.5lb</t>
        </is>
      </c>
      <c r="D6" s="183" t="inlineStr">
        <is>
          <t>B</t>
        </is>
      </c>
      <c r="E6" s="184" t="n">
        <v>6454</v>
      </c>
      <c r="F6" s="185" t="n">
        <v>145</v>
      </c>
      <c r="G6" s="186" t="n">
        <v>44.5</v>
      </c>
      <c r="H6" s="185" t="n">
        <v>180</v>
      </c>
      <c r="I6" s="187" t="n">
        <v>3.98</v>
      </c>
      <c r="J6" s="181" t="n">
        <v>30</v>
      </c>
      <c r="K6" s="185" t="n">
        <v>3</v>
      </c>
      <c r="L6" s="188" t="inlineStr">
        <is>
          <t>B</t>
        </is>
      </c>
      <c r="M6" s="189" t="inlineStr">
        <is>
          <t>R30-C03-B</t>
        </is>
      </c>
      <c r="N6" s="190" t="inlineStr">
        <is>
          <t>Level 2 — fast access</t>
        </is>
      </c>
    </row>
    <row r="7" ht="19.5" customHeight="1">
      <c r="A7" s="169" t="n">
        <v>3</v>
      </c>
      <c r="B7" s="170" t="inlineStr">
        <is>
          <t>62004</t>
        </is>
      </c>
      <c r="C7" s="171" t="inlineStr">
        <is>
          <t>GG Org Pwd Sugar 6ct-1lb</t>
        </is>
      </c>
      <c r="D7" s="183" t="inlineStr">
        <is>
          <t>B</t>
        </is>
      </c>
      <c r="E7" s="173" t="n">
        <v>4891</v>
      </c>
      <c r="F7" s="174" t="n">
        <v>164</v>
      </c>
      <c r="G7" s="175" t="n">
        <v>29.8</v>
      </c>
      <c r="H7" s="174" t="n">
        <v>180</v>
      </c>
      <c r="I7" s="176" t="n">
        <v>3.02</v>
      </c>
      <c r="J7" s="170" t="n">
        <v>30</v>
      </c>
      <c r="K7" s="174" t="n">
        <v>5</v>
      </c>
      <c r="L7" s="188" t="inlineStr">
        <is>
          <t>B</t>
        </is>
      </c>
      <c r="M7" s="178" t="inlineStr">
        <is>
          <t>R30-C05-B</t>
        </is>
      </c>
      <c r="N7" s="179" t="inlineStr">
        <is>
          <t>Level 2 — fast access</t>
        </is>
      </c>
    </row>
    <row r="8" ht="19.5" customHeight="1">
      <c r="A8" s="180" t="n">
        <v>4</v>
      </c>
      <c r="B8" s="181" t="inlineStr">
        <is>
          <t>62106</t>
        </is>
      </c>
      <c r="C8" s="182" t="inlineStr">
        <is>
          <t>GG Org Coconut Palm 6ct</t>
        </is>
      </c>
      <c r="D8" s="191" t="inlineStr">
        <is>
          <t>C</t>
        </is>
      </c>
      <c r="E8" s="184" t="n">
        <v>3323</v>
      </c>
      <c r="F8" s="185" t="n">
        <v>189</v>
      </c>
      <c r="G8" s="186" t="n">
        <v>17.6</v>
      </c>
      <c r="H8" s="185" t="n">
        <v>192</v>
      </c>
      <c r="I8" s="187" t="n">
        <v>1.92</v>
      </c>
      <c r="J8" s="181" t="n">
        <v>30</v>
      </c>
      <c r="K8" s="185" t="n">
        <v>7</v>
      </c>
      <c r="L8" s="188" t="inlineStr">
        <is>
          <t>B</t>
        </is>
      </c>
      <c r="M8" s="189" t="inlineStr">
        <is>
          <t>R30-C07-B</t>
        </is>
      </c>
      <c r="N8" s="190" t="inlineStr">
        <is>
          <t>Level 2 — fast access</t>
        </is>
      </c>
    </row>
    <row r="9" ht="19.5" customHeight="1">
      <c r="A9" s="169" t="n">
        <v>5</v>
      </c>
      <c r="B9" s="170" t="inlineStr">
        <is>
          <t>62231</t>
        </is>
      </c>
      <c r="C9" s="171" t="inlineStr">
        <is>
          <t>GG Org Light Agave 6ct</t>
        </is>
      </c>
      <c r="D9" s="191" t="inlineStr">
        <is>
          <t>C</t>
        </is>
      </c>
      <c r="E9" s="173" t="n">
        <v>3092</v>
      </c>
      <c r="F9" s="174" t="n">
        <v>194</v>
      </c>
      <c r="G9" s="175" t="n">
        <v>15.9</v>
      </c>
      <c r="H9" s="174" t="n">
        <v>180</v>
      </c>
      <c r="I9" s="176" t="n">
        <v>1.91</v>
      </c>
      <c r="J9" s="170" t="n">
        <v>30</v>
      </c>
      <c r="K9" s="174" t="n">
        <v>9</v>
      </c>
      <c r="L9" s="188" t="inlineStr">
        <is>
          <t>B</t>
        </is>
      </c>
      <c r="M9" s="178" t="inlineStr">
        <is>
          <t>R30-C09-B</t>
        </is>
      </c>
      <c r="N9" s="179" t="inlineStr">
        <is>
          <t>Level 2 — fast access</t>
        </is>
      </c>
    </row>
    <row r="10" ht="19.5" customHeight="1">
      <c r="A10" s="180" t="n">
        <v>6</v>
      </c>
      <c r="B10" s="181" t="inlineStr">
        <is>
          <t>62432</t>
        </is>
      </c>
      <c r="C10" s="182" t="inlineStr">
        <is>
          <t>GG Org Sugar 6ct-4lb</t>
        </is>
      </c>
      <c r="D10" s="191" t="inlineStr">
        <is>
          <t>C</t>
        </is>
      </c>
      <c r="E10" s="184" t="n">
        <v>2511</v>
      </c>
      <c r="F10" s="185" t="n">
        <v>168</v>
      </c>
      <c r="G10" s="186" t="n">
        <v>14.9</v>
      </c>
      <c r="H10" s="185" t="n">
        <v>81</v>
      </c>
      <c r="I10" s="187" t="n">
        <v>3.44</v>
      </c>
      <c r="J10" s="181" t="n">
        <v>30</v>
      </c>
      <c r="K10" s="185" t="n">
        <v>11</v>
      </c>
      <c r="L10" s="188" t="inlineStr">
        <is>
          <t>B</t>
        </is>
      </c>
      <c r="M10" s="189" t="inlineStr">
        <is>
          <t>R30-C11-B</t>
        </is>
      </c>
      <c r="N10" s="190" t="inlineStr">
        <is>
          <t>Level 2 — fast access</t>
        </is>
      </c>
    </row>
    <row r="11" ht="19.5" customHeight="1">
      <c r="A11" s="169" t="n">
        <v>7</v>
      </c>
      <c r="B11" s="170" t="inlineStr">
        <is>
          <t>62232</t>
        </is>
      </c>
      <c r="C11" s="171" t="inlineStr">
        <is>
          <t>GG Org Raw Agave 6ct</t>
        </is>
      </c>
      <c r="D11" s="191" t="inlineStr">
        <is>
          <t>C</t>
        </is>
      </c>
      <c r="E11" s="173" t="n">
        <v>1176</v>
      </c>
      <c r="F11" s="174" t="n">
        <v>179</v>
      </c>
      <c r="G11" s="175" t="n">
        <v>6.6</v>
      </c>
      <c r="H11" s="174" t="n">
        <v>180</v>
      </c>
      <c r="I11" s="176" t="n">
        <v>0.73</v>
      </c>
      <c r="J11" s="170" t="n">
        <v>30</v>
      </c>
      <c r="K11" s="174" t="n">
        <v>13</v>
      </c>
      <c r="L11" s="188" t="inlineStr">
        <is>
          <t>B</t>
        </is>
      </c>
      <c r="M11" s="178" t="inlineStr">
        <is>
          <t>R30-C13-B</t>
        </is>
      </c>
      <c r="N11" s="179" t="inlineStr">
        <is>
          <t>Level 2 — fast access</t>
        </is>
      </c>
    </row>
    <row r="12" ht="12" customHeight="1"/>
    <row r="13" ht="21.75" customHeight="1">
      <c r="A13" s="213" t="inlineStr">
        <is>
          <t>📦  AMAZON SKUs — Design B</t>
        </is>
      </c>
    </row>
    <row r="14" ht="27.75" customHeight="1">
      <c r="A14" s="192" t="inlineStr">
        <is>
          <t>Rank</t>
        </is>
      </c>
      <c r="B14" s="192" t="inlineStr">
        <is>
          <t>Item #</t>
        </is>
      </c>
      <c r="C14" s="192" t="inlineStr">
        <is>
          <t>Short Description</t>
        </is>
      </c>
      <c r="D14" s="192" t="inlineStr">
        <is>
          <t>ABC</t>
        </is>
      </c>
      <c r="E14" s="192" t="inlineStr">
        <is>
          <t>Total
Cases</t>
        </is>
      </c>
      <c r="F14" s="192" t="inlineStr">
        <is>
          <t># Orders</t>
        </is>
      </c>
      <c r="G14" s="192" t="inlineStr">
        <is>
          <t>Avg Cases
/ Order</t>
        </is>
      </c>
      <c r="H14" s="192" t="inlineStr">
        <is>
          <t>Full Pallet
Cap</t>
        </is>
      </c>
      <c r="I14" s="192" t="inlineStr">
        <is>
          <t>Pallets
/ Batch</t>
        </is>
      </c>
      <c r="J14" s="192" t="inlineStr">
        <is>
          <t>Rack</t>
        </is>
      </c>
      <c r="K14" s="192" t="inlineStr">
        <is>
          <t>Column</t>
        </is>
      </c>
      <c r="L14" s="192" t="inlineStr">
        <is>
          <t>Level</t>
        </is>
      </c>
      <c r="M14" s="192" t="inlineStr">
        <is>
          <t>Cell Address</t>
        </is>
      </c>
      <c r="N14" s="192" t="inlineStr">
        <is>
          <t>Rationale</t>
        </is>
      </c>
    </row>
    <row r="15" ht="19.5" customHeight="1">
      <c r="A15" s="193" t="n">
        <v>1</v>
      </c>
      <c r="B15" s="194" t="inlineStr">
        <is>
          <t>95612</t>
        </is>
      </c>
      <c r="C15" s="195" t="inlineStr">
        <is>
          <t>WS Allulose Liquid 6ct</t>
        </is>
      </c>
      <c r="D15" s="172" t="inlineStr">
        <is>
          <t>A</t>
        </is>
      </c>
      <c r="E15" s="196" t="n">
        <v>3796</v>
      </c>
      <c r="F15" s="197" t="n">
        <v>57</v>
      </c>
      <c r="G15" s="198" t="n">
        <v>66.59999999999999</v>
      </c>
      <c r="H15" s="197" t="n">
        <v>357</v>
      </c>
      <c r="I15" s="199" t="n">
        <v>1.33</v>
      </c>
      <c r="J15" s="194" t="n">
        <v>31</v>
      </c>
      <c r="K15" s="197" t="n">
        <v>1</v>
      </c>
      <c r="L15" s="177" t="inlineStr">
        <is>
          <t>A</t>
        </is>
      </c>
      <c r="M15" s="200" t="inlineStr">
        <is>
          <t>R31-C01-A</t>
        </is>
      </c>
      <c r="N15" s="201" t="inlineStr">
        <is>
          <t>Ground — fastest forklift</t>
        </is>
      </c>
    </row>
    <row r="16" ht="19.5" customHeight="1">
      <c r="A16" s="180" t="n">
        <v>2</v>
      </c>
      <c r="B16" s="181" t="inlineStr">
        <is>
          <t>45022</t>
        </is>
      </c>
      <c r="C16" s="182" t="inlineStr">
        <is>
          <t>WS FT Molasses 12-32oz</t>
        </is>
      </c>
      <c r="D16" s="172" t="inlineStr">
        <is>
          <t>A</t>
        </is>
      </c>
      <c r="E16" s="184" t="n">
        <v>2586</v>
      </c>
      <c r="F16" s="185" t="n">
        <v>71</v>
      </c>
      <c r="G16" s="186" t="n">
        <v>36.4</v>
      </c>
      <c r="H16" s="185" t="n">
        <v>50</v>
      </c>
      <c r="I16" s="187" t="n">
        <v>6.47</v>
      </c>
      <c r="J16" s="181" t="n">
        <v>31</v>
      </c>
      <c r="K16" s="185" t="n">
        <v>2</v>
      </c>
      <c r="L16" s="177" t="inlineStr">
        <is>
          <t>A</t>
        </is>
      </c>
      <c r="M16" s="189" t="inlineStr">
        <is>
          <t>R31-C02-A</t>
        </is>
      </c>
      <c r="N16" s="190" t="inlineStr">
        <is>
          <t>Ground — fastest forklift</t>
        </is>
      </c>
    </row>
    <row r="17" ht="19.5" customHeight="1">
      <c r="A17" s="193" t="n">
        <v>3</v>
      </c>
      <c r="B17" s="194" t="inlineStr">
        <is>
          <t>32004</t>
        </is>
      </c>
      <c r="C17" s="195" t="inlineStr">
        <is>
          <t>WSI Org ECJ PWD 6ct-1lb</t>
        </is>
      </c>
      <c r="D17" s="172" t="inlineStr">
        <is>
          <t>A</t>
        </is>
      </c>
      <c r="E17" s="196" t="n">
        <v>2400</v>
      </c>
      <c r="F17" s="197" t="n">
        <v>46</v>
      </c>
      <c r="G17" s="198" t="n">
        <v>52.2</v>
      </c>
      <c r="H17" s="197" t="n">
        <v>180</v>
      </c>
      <c r="I17" s="199" t="n">
        <v>1.67</v>
      </c>
      <c r="J17" s="194" t="n">
        <v>31</v>
      </c>
      <c r="K17" s="197" t="n">
        <v>3</v>
      </c>
      <c r="L17" s="177" t="inlineStr">
        <is>
          <t>A</t>
        </is>
      </c>
      <c r="M17" s="200" t="inlineStr">
        <is>
          <t>R31-C03-A</t>
        </is>
      </c>
      <c r="N17" s="201" t="inlineStr">
        <is>
          <t>Ground — fastest forklift</t>
        </is>
      </c>
    </row>
    <row r="18" ht="19.5" customHeight="1">
      <c r="A18" s="180" t="n">
        <v>4</v>
      </c>
      <c r="B18" s="181" t="inlineStr">
        <is>
          <t>95812</t>
        </is>
      </c>
      <c r="C18" s="182" t="inlineStr">
        <is>
          <t>W Allulose 8ct-12oz</t>
        </is>
      </c>
      <c r="D18" s="183" t="inlineStr">
        <is>
          <t>B</t>
        </is>
      </c>
      <c r="E18" s="184" t="n">
        <v>1964</v>
      </c>
      <c r="F18" s="185" t="n">
        <v>55</v>
      </c>
      <c r="G18" s="186" t="n">
        <v>35.7</v>
      </c>
      <c r="H18" s="185" t="n">
        <v>187</v>
      </c>
      <c r="I18" s="187" t="n">
        <v>1.31</v>
      </c>
      <c r="J18" s="181" t="n">
        <v>31</v>
      </c>
      <c r="K18" s="185" t="n">
        <v>4</v>
      </c>
      <c r="L18" s="177" t="inlineStr">
        <is>
          <t>A</t>
        </is>
      </c>
      <c r="M18" s="189" t="inlineStr">
        <is>
          <t>R31-C04-A</t>
        </is>
      </c>
      <c r="N18" s="190" t="inlineStr">
        <is>
          <t>Ground — fastest forklift</t>
        </is>
      </c>
    </row>
    <row r="19" ht="19.5" customHeight="1">
      <c r="A19" s="193" t="n">
        <v>5</v>
      </c>
      <c r="B19" s="194" t="inlineStr">
        <is>
          <t>46410</t>
        </is>
      </c>
      <c r="C19" s="195" t="inlineStr">
        <is>
          <t>WS FT Org Sugar 4-10lb</t>
        </is>
      </c>
      <c r="D19" s="183" t="inlineStr">
        <is>
          <t>B</t>
        </is>
      </c>
      <c r="E19" s="196" t="n">
        <v>1942</v>
      </c>
      <c r="F19" s="197" t="n">
        <v>45</v>
      </c>
      <c r="G19" s="198" t="n">
        <v>43.2</v>
      </c>
      <c r="H19" s="197" t="n">
        <v>54</v>
      </c>
      <c r="I19" s="199" t="n">
        <v>4.5</v>
      </c>
      <c r="J19" s="194" t="n">
        <v>31</v>
      </c>
      <c r="K19" s="197" t="n">
        <v>5</v>
      </c>
      <c r="L19" s="177" t="inlineStr">
        <is>
          <t>A</t>
        </is>
      </c>
      <c r="M19" s="200" t="inlineStr">
        <is>
          <t>R31-C05-A</t>
        </is>
      </c>
      <c r="N19" s="201" t="inlineStr">
        <is>
          <t>Ground — fastest forklift</t>
        </is>
      </c>
    </row>
    <row r="20" ht="19.5" customHeight="1">
      <c r="A20" s="180" t="n">
        <v>6</v>
      </c>
      <c r="B20" s="181" t="inlineStr">
        <is>
          <t>45021</t>
        </is>
      </c>
      <c r="C20" s="182" t="inlineStr">
        <is>
          <t>WS FT Molasses 12-16oz</t>
        </is>
      </c>
      <c r="D20" s="183" t="inlineStr">
        <is>
          <t>B</t>
        </is>
      </c>
      <c r="E20" s="184" t="n">
        <v>1898</v>
      </c>
      <c r="F20" s="185" t="n">
        <v>60</v>
      </c>
      <c r="G20" s="186" t="n">
        <v>31.6</v>
      </c>
      <c r="H20" s="185" t="n">
        <v>73</v>
      </c>
      <c r="I20" s="187" t="n">
        <v>3.25</v>
      </c>
      <c r="J20" s="181" t="n">
        <v>31</v>
      </c>
      <c r="K20" s="185" t="n">
        <v>6</v>
      </c>
      <c r="L20" s="177" t="inlineStr">
        <is>
          <t>A</t>
        </is>
      </c>
      <c r="M20" s="189" t="inlineStr">
        <is>
          <t>R31-C06-A</t>
        </is>
      </c>
      <c r="N20" s="190" t="inlineStr">
        <is>
          <t>Ground — fastest forklift</t>
        </is>
      </c>
    </row>
    <row r="21" ht="19.5" customHeight="1">
      <c r="A21" s="193" t="n">
        <v>7</v>
      </c>
      <c r="B21" s="194" t="inlineStr">
        <is>
          <t>44652</t>
        </is>
      </c>
      <c r="C21" s="195" t="inlineStr">
        <is>
          <t>FT Org Dk Brown 6ct-1.5lb</t>
        </is>
      </c>
      <c r="D21" s="183" t="inlineStr">
        <is>
          <t>B</t>
        </is>
      </c>
      <c r="E21" s="196" t="n">
        <v>750</v>
      </c>
      <c r="F21" s="197" t="n">
        <v>50</v>
      </c>
      <c r="G21" s="198" t="n">
        <v>15</v>
      </c>
      <c r="H21" s="197" t="n">
        <v>180</v>
      </c>
      <c r="I21" s="199" t="n">
        <v>0.52</v>
      </c>
      <c r="J21" s="194" t="n">
        <v>31</v>
      </c>
      <c r="K21" s="197" t="n">
        <v>7</v>
      </c>
      <c r="L21" s="177" t="inlineStr">
        <is>
          <t>A</t>
        </is>
      </c>
      <c r="M21" s="200" t="inlineStr">
        <is>
          <t>R31-C07-A</t>
        </is>
      </c>
      <c r="N21" s="201" t="inlineStr">
        <is>
          <t>Ground — fastest forklift</t>
        </is>
      </c>
    </row>
    <row r="22" ht="19.5" customHeight="1">
      <c r="A22" s="180" t="n">
        <v>8</v>
      </c>
      <c r="B22" s="181" t="inlineStr">
        <is>
          <t>94675</t>
        </is>
      </c>
      <c r="C22" s="182" t="inlineStr">
        <is>
          <t>Org Stevia 6ct 75-1g</t>
        </is>
      </c>
      <c r="D22" s="191" t="inlineStr">
        <is>
          <t>C</t>
        </is>
      </c>
      <c r="E22" s="184" t="n">
        <v>661</v>
      </c>
      <c r="F22" s="185" t="n">
        <v>52</v>
      </c>
      <c r="G22" s="186" t="n">
        <v>12.7</v>
      </c>
      <c r="H22" s="185" t="n">
        <v>198</v>
      </c>
      <c r="I22" s="187" t="n">
        <v>0.42</v>
      </c>
      <c r="J22" s="181" t="n">
        <v>31</v>
      </c>
      <c r="K22" s="185" t="n">
        <v>8</v>
      </c>
      <c r="L22" s="188" t="inlineStr">
        <is>
          <t>B</t>
        </is>
      </c>
      <c r="M22" s="189" t="inlineStr">
        <is>
          <t>R31-C08-B</t>
        </is>
      </c>
      <c r="N22" s="190" t="inlineStr">
        <is>
          <t>Level 2 — fast access</t>
        </is>
      </c>
    </row>
    <row r="23" ht="19.5" customHeight="1">
      <c r="A23" s="193" t="n">
        <v>9</v>
      </c>
      <c r="B23" s="194" t="inlineStr">
        <is>
          <t>92106</t>
        </is>
      </c>
      <c r="C23" s="195" t="inlineStr">
        <is>
          <t>Org Coconut Palm 6ct-1lb</t>
        </is>
      </c>
      <c r="D23" s="191" t="inlineStr">
        <is>
          <t>C</t>
        </is>
      </c>
      <c r="E23" s="196" t="n">
        <v>473</v>
      </c>
      <c r="F23" s="197" t="n">
        <v>35</v>
      </c>
      <c r="G23" s="198" t="n">
        <v>13.5</v>
      </c>
      <c r="H23" s="197" t="n">
        <v>192</v>
      </c>
      <c r="I23" s="199" t="n">
        <v>0.31</v>
      </c>
      <c r="J23" s="194" t="n">
        <v>31</v>
      </c>
      <c r="K23" s="197" t="n">
        <v>9</v>
      </c>
      <c r="L23" s="188" t="inlineStr">
        <is>
          <t>B</t>
        </is>
      </c>
      <c r="M23" s="200" t="inlineStr">
        <is>
          <t>R31-C09-B</t>
        </is>
      </c>
      <c r="N23" s="201" t="inlineStr">
        <is>
          <t>Level 2 — fast access</t>
        </is>
      </c>
    </row>
    <row r="24" ht="19.5" customHeight="1">
      <c r="A24" s="180" t="n">
        <v>10</v>
      </c>
      <c r="B24" s="181" t="inlineStr">
        <is>
          <t>20441</t>
        </is>
      </c>
      <c r="C24" s="182" t="inlineStr">
        <is>
          <t>Blue Agave 6-44oz</t>
        </is>
      </c>
      <c r="D24" s="191" t="inlineStr">
        <is>
          <t>C</t>
        </is>
      </c>
      <c r="E24" s="184" t="n">
        <v>412</v>
      </c>
      <c r="F24" s="185" t="n">
        <v>40</v>
      </c>
      <c r="G24" s="186" t="n">
        <v>10.3</v>
      </c>
      <c r="H24" s="185" t="n">
        <v>108</v>
      </c>
      <c r="I24" s="187" t="n">
        <v>0.48</v>
      </c>
      <c r="J24" s="181" t="n">
        <v>31</v>
      </c>
      <c r="K24" s="185" t="n">
        <v>10</v>
      </c>
      <c r="L24" s="188" t="inlineStr">
        <is>
          <t>B</t>
        </is>
      </c>
      <c r="M24" s="189" t="inlineStr">
        <is>
          <t>R31-C10-B</t>
        </is>
      </c>
      <c r="N24" s="190" t="inlineStr">
        <is>
          <t>Level 2 — fast access</t>
        </is>
      </c>
    </row>
    <row r="25" ht="19.5" customHeight="1">
      <c r="A25" s="193" t="n">
        <v>11</v>
      </c>
      <c r="B25" s="194" t="inlineStr">
        <is>
          <t>45026</t>
        </is>
      </c>
      <c r="C25" s="195" t="inlineStr">
        <is>
          <t>FT Org Sucanat 12ct-2lb</t>
        </is>
      </c>
      <c r="D25" s="191" t="inlineStr">
        <is>
          <t>C</t>
        </is>
      </c>
      <c r="E25" s="196" t="n">
        <v>375</v>
      </c>
      <c r="F25" s="197" t="n">
        <v>44</v>
      </c>
      <c r="G25" s="198" t="n">
        <v>8.5</v>
      </c>
      <c r="H25" s="197" t="n">
        <v>46</v>
      </c>
      <c r="I25" s="199" t="n">
        <v>1.02</v>
      </c>
      <c r="J25" s="194" t="n">
        <v>31</v>
      </c>
      <c r="K25" s="197" t="n">
        <v>11</v>
      </c>
      <c r="L25" s="188" t="inlineStr">
        <is>
          <t>B</t>
        </is>
      </c>
      <c r="M25" s="200" t="inlineStr">
        <is>
          <t>R31-C11-B</t>
        </is>
      </c>
      <c r="N25" s="201" t="inlineStr">
        <is>
          <t>Level 2 — fast access</t>
        </is>
      </c>
    </row>
    <row r="26" ht="19.5" customHeight="1">
      <c r="A26" s="180" t="n">
        <v>12</v>
      </c>
      <c r="B26" s="181" t="inlineStr">
        <is>
          <t>32134</t>
        </is>
      </c>
      <c r="C26" s="182" t="inlineStr">
        <is>
          <t>Lt Brown Muscovado 10-1lb</t>
        </is>
      </c>
      <c r="D26" s="191" t="inlineStr">
        <is>
          <t>C</t>
        </is>
      </c>
      <c r="E26" s="184" t="n">
        <v>328</v>
      </c>
      <c r="F26" s="185" t="n">
        <v>58</v>
      </c>
      <c r="G26" s="186" t="n">
        <v>5.7</v>
      </c>
      <c r="H26" s="185" t="n">
        <v>210</v>
      </c>
      <c r="I26" s="187" t="n">
        <v>0.2</v>
      </c>
      <c r="J26" s="181" t="n">
        <v>31</v>
      </c>
      <c r="K26" s="185" t="n">
        <v>12</v>
      </c>
      <c r="L26" s="188" t="inlineStr">
        <is>
          <t>B</t>
        </is>
      </c>
      <c r="M26" s="189" t="inlineStr">
        <is>
          <t>R31-C12-B</t>
        </is>
      </c>
      <c r="N26" s="190" t="inlineStr">
        <is>
          <t>Level 2 — fast access</t>
        </is>
      </c>
    </row>
    <row r="27" ht="19.5" customHeight="1">
      <c r="A27" s="193" t="n">
        <v>13</v>
      </c>
      <c r="B27" s="194" t="inlineStr">
        <is>
          <t>45036</t>
        </is>
      </c>
      <c r="C27" s="195" t="inlineStr">
        <is>
          <t>Org Sugar 6ct-2lb</t>
        </is>
      </c>
      <c r="D27" s="191" t="inlineStr">
        <is>
          <t>C</t>
        </is>
      </c>
      <c r="E27" s="196" t="n">
        <v>235</v>
      </c>
      <c r="F27" s="197" t="n">
        <v>43</v>
      </c>
      <c r="G27" s="198" t="n">
        <v>5.5</v>
      </c>
      <c r="H27" s="197" t="n">
        <v>156</v>
      </c>
      <c r="I27" s="199" t="n">
        <v>0.19</v>
      </c>
      <c r="J27" s="194" t="n">
        <v>31</v>
      </c>
      <c r="K27" s="197" t="n">
        <v>13</v>
      </c>
      <c r="L27" s="188" t="inlineStr">
        <is>
          <t>B</t>
        </is>
      </c>
      <c r="M27" s="200" t="inlineStr">
        <is>
          <t>R31-C13-B</t>
        </is>
      </c>
      <c r="N27" s="201" t="inlineStr">
        <is>
          <t>Level 2 — fast access</t>
        </is>
      </c>
    </row>
    <row r="28" ht="19.5" customHeight="1">
      <c r="A28" s="180" t="n">
        <v>14</v>
      </c>
      <c r="B28" s="181" t="inlineStr">
        <is>
          <t>32139</t>
        </is>
      </c>
      <c r="C28" s="182" t="inlineStr">
        <is>
          <t>Nat Demerara 10-1lb</t>
        </is>
      </c>
      <c r="D28" s="191" t="inlineStr">
        <is>
          <t>C</t>
        </is>
      </c>
      <c r="E28" s="184" t="n">
        <v>235</v>
      </c>
      <c r="F28" s="185" t="n">
        <v>38</v>
      </c>
      <c r="G28" s="186" t="n">
        <v>6.2</v>
      </c>
      <c r="H28" s="185" t="n">
        <v>210</v>
      </c>
      <c r="I28" s="187" t="n">
        <v>0.14</v>
      </c>
      <c r="J28" s="181" t="n">
        <v>31</v>
      </c>
      <c r="K28" s="185" t="n">
        <v>14</v>
      </c>
      <c r="L28" s="188" t="inlineStr">
        <is>
          <t>B</t>
        </is>
      </c>
      <c r="M28" s="189" t="inlineStr">
        <is>
          <t>R31-C14-B</t>
        </is>
      </c>
      <c r="N28" s="190" t="inlineStr">
        <is>
          <t>Level 2 — fast access</t>
        </is>
      </c>
    </row>
    <row r="29" ht="19.5" customHeight="1">
      <c r="A29" s="193" t="n">
        <v>15</v>
      </c>
      <c r="B29" s="194" t="inlineStr">
        <is>
          <t>20231</t>
        </is>
      </c>
      <c r="C29" s="195" t="inlineStr">
        <is>
          <t>Org Blue Agave 6-23.5oz</t>
        </is>
      </c>
      <c r="D29" s="191" t="inlineStr">
        <is>
          <t>C</t>
        </is>
      </c>
      <c r="E29" s="196" t="n">
        <v>217</v>
      </c>
      <c r="F29" s="197" t="n">
        <v>35</v>
      </c>
      <c r="G29" s="198" t="n">
        <v>6.2</v>
      </c>
      <c r="H29" s="197" t="n">
        <v>180</v>
      </c>
      <c r="I29" s="199" t="n">
        <v>0.15</v>
      </c>
      <c r="J29" s="194" t="n">
        <v>31</v>
      </c>
      <c r="K29" s="197" t="n">
        <v>15</v>
      </c>
      <c r="L29" s="188" t="inlineStr">
        <is>
          <t>B</t>
        </is>
      </c>
      <c r="M29" s="200" t="inlineStr">
        <is>
          <t>R31-C15-B</t>
        </is>
      </c>
      <c r="N29" s="201" t="inlineStr">
        <is>
          <t>Level 2 — fast access</t>
        </is>
      </c>
    </row>
    <row r="30" ht="19.5" customHeight="1">
      <c r="A30" s="180" t="n">
        <v>16</v>
      </c>
      <c r="B30" s="181" t="inlineStr">
        <is>
          <t>45641</t>
        </is>
      </c>
      <c r="C30" s="182" t="inlineStr">
        <is>
          <t>Regen Lt Brown Sugar 6ct</t>
        </is>
      </c>
      <c r="D30" s="191" t="inlineStr">
        <is>
          <t>C</t>
        </is>
      </c>
      <c r="E30" s="184" t="n">
        <v>172</v>
      </c>
      <c r="F30" s="185" t="n">
        <v>27</v>
      </c>
      <c r="G30" s="186" t="n">
        <v>6.4</v>
      </c>
      <c r="H30" s="185" t="n">
        <v>81</v>
      </c>
      <c r="I30" s="187" t="n">
        <v>0.27</v>
      </c>
      <c r="J30" s="181" t="n">
        <v>31</v>
      </c>
      <c r="K30" s="185" t="n">
        <v>16</v>
      </c>
      <c r="L30" s="202" t="inlineStr">
        <is>
          <t>C</t>
        </is>
      </c>
      <c r="M30" s="189" t="inlineStr">
        <is>
          <t>R31-C16-C</t>
        </is>
      </c>
      <c r="N30" s="190" t="inlineStr">
        <is>
          <t>Level 3 — moderate reach</t>
        </is>
      </c>
    </row>
    <row r="31" ht="19.5" customHeight="1">
      <c r="A31" s="193" t="n">
        <v>17</v>
      </c>
      <c r="B31" s="194" t="inlineStr">
        <is>
          <t>94660</t>
        </is>
      </c>
      <c r="C31" s="195" t="inlineStr">
        <is>
          <t>Org Stevia 6x6oz Jar</t>
        </is>
      </c>
      <c r="D31" s="191" t="inlineStr">
        <is>
          <t>C</t>
        </is>
      </c>
      <c r="E31" s="196" t="n">
        <v>169</v>
      </c>
      <c r="F31" s="197" t="n">
        <v>35</v>
      </c>
      <c r="G31" s="198" t="n">
        <v>4.8</v>
      </c>
      <c r="H31" s="197" t="n">
        <v>304</v>
      </c>
      <c r="I31" s="199" t="n">
        <v>0.07000000000000001</v>
      </c>
      <c r="J31" s="194" t="inlineStr">
        <is>
          <t>—</t>
        </is>
      </c>
      <c r="K31" s="197" t="inlineStr">
        <is>
          <t>—</t>
        </is>
      </c>
      <c r="L31" s="197" t="inlineStr">
        <is>
          <t>—</t>
        </is>
      </c>
      <c r="M31" s="200" t="inlineStr">
        <is>
          <t>—</t>
        </is>
      </c>
      <c r="N31" s="201" t="inlineStr">
        <is>
          <t>—</t>
        </is>
      </c>
    </row>
    <row r="32" ht="19.5" customHeight="1">
      <c r="A32" s="180" t="n">
        <v>18</v>
      </c>
      <c r="B32" s="181" t="inlineStr">
        <is>
          <t>32137</t>
        </is>
      </c>
      <c r="C32" s="182" t="inlineStr">
        <is>
          <t>Dk Brn Molasses 10-1lb</t>
        </is>
      </c>
      <c r="D32" s="191" t="inlineStr">
        <is>
          <t>C</t>
        </is>
      </c>
      <c r="E32" s="184" t="n">
        <v>166</v>
      </c>
      <c r="F32" s="185" t="n">
        <v>47</v>
      </c>
      <c r="G32" s="186" t="n">
        <v>3.5</v>
      </c>
      <c r="H32" s="185" t="n">
        <v>210</v>
      </c>
      <c r="I32" s="187" t="n">
        <v>0.1</v>
      </c>
      <c r="J32" s="181" t="inlineStr">
        <is>
          <t>—</t>
        </is>
      </c>
      <c r="K32" s="185" t="inlineStr">
        <is>
          <t>—</t>
        </is>
      </c>
      <c r="L32" s="185" t="inlineStr">
        <is>
          <t>—</t>
        </is>
      </c>
      <c r="M32" s="189" t="inlineStr">
        <is>
          <t>—</t>
        </is>
      </c>
      <c r="N32" s="190" t="inlineStr">
        <is>
          <t>—</t>
        </is>
      </c>
    </row>
    <row r="33" ht="19.5" customHeight="1">
      <c r="A33" s="193" t="n">
        <v>19</v>
      </c>
      <c r="B33" s="194" t="inlineStr">
        <is>
          <t>89416</t>
        </is>
      </c>
      <c r="C33" s="195" t="inlineStr">
        <is>
          <t>FT Raw Honey 6-16oz Sqz</t>
        </is>
      </c>
      <c r="D33" s="191" t="inlineStr">
        <is>
          <t>C</t>
        </is>
      </c>
      <c r="E33" s="196" t="n">
        <v>157</v>
      </c>
      <c r="F33" s="197" t="n">
        <v>32</v>
      </c>
      <c r="G33" s="198" t="n">
        <v>4.9</v>
      </c>
      <c r="H33" s="197" t="n">
        <v>329</v>
      </c>
      <c r="I33" s="199" t="n">
        <v>0.06</v>
      </c>
      <c r="J33" s="194" t="inlineStr">
        <is>
          <t>—</t>
        </is>
      </c>
      <c r="K33" s="197" t="inlineStr">
        <is>
          <t>—</t>
        </is>
      </c>
      <c r="L33" s="197" t="inlineStr">
        <is>
          <t>—</t>
        </is>
      </c>
      <c r="M33" s="200" t="inlineStr">
        <is>
          <t>—</t>
        </is>
      </c>
      <c r="N33" s="201" t="inlineStr">
        <is>
          <t>—</t>
        </is>
      </c>
    </row>
    <row r="34" ht="19.5" customHeight="1">
      <c r="A34" s="180" t="n">
        <v>20</v>
      </c>
      <c r="B34" s="181" t="inlineStr">
        <is>
          <t>21442</t>
        </is>
      </c>
      <c r="C34" s="182" t="inlineStr">
        <is>
          <t>Org Raw Agave 6-44oz</t>
        </is>
      </c>
      <c r="D34" s="191" t="inlineStr">
        <is>
          <t>C</t>
        </is>
      </c>
      <c r="E34" s="184" t="n">
        <v>147</v>
      </c>
      <c r="F34" s="185" t="n">
        <v>38</v>
      </c>
      <c r="G34" s="186" t="n">
        <v>3.9</v>
      </c>
      <c r="H34" s="185" t="n">
        <v>16</v>
      </c>
      <c r="I34" s="187" t="n">
        <v>1.15</v>
      </c>
      <c r="J34" s="181" t="inlineStr">
        <is>
          <t>—</t>
        </is>
      </c>
      <c r="K34" s="185" t="inlineStr">
        <is>
          <t>—</t>
        </is>
      </c>
      <c r="L34" s="185" t="inlineStr">
        <is>
          <t>—</t>
        </is>
      </c>
      <c r="M34" s="189" t="inlineStr">
        <is>
          <t>—</t>
        </is>
      </c>
      <c r="N34" s="190" t="inlineStr">
        <is>
          <t>—</t>
        </is>
      </c>
    </row>
    <row r="35" ht="19.5" customHeight="1">
      <c r="A35" s="193" t="n">
        <v>21</v>
      </c>
      <c r="B35" s="194" t="inlineStr">
        <is>
          <t>44471</t>
        </is>
      </c>
      <c r="C35" s="195" t="inlineStr">
        <is>
          <t>FT Org Raw Turb 12-1.5lb</t>
        </is>
      </c>
      <c r="D35" s="191" t="inlineStr">
        <is>
          <t>C</t>
        </is>
      </c>
      <c r="E35" s="196" t="n">
        <v>124</v>
      </c>
      <c r="F35" s="197" t="n">
        <v>38</v>
      </c>
      <c r="G35" s="198" t="n">
        <v>3.3</v>
      </c>
      <c r="H35" s="197" t="n">
        <v>100</v>
      </c>
      <c r="I35" s="199" t="n">
        <v>0.16</v>
      </c>
      <c r="J35" s="194" t="inlineStr">
        <is>
          <t>—</t>
        </is>
      </c>
      <c r="K35" s="197" t="inlineStr">
        <is>
          <t>—</t>
        </is>
      </c>
      <c r="L35" s="197" t="inlineStr">
        <is>
          <t>—</t>
        </is>
      </c>
      <c r="M35" s="200" t="inlineStr">
        <is>
          <t>—</t>
        </is>
      </c>
      <c r="N35" s="201" t="inlineStr">
        <is>
          <t>—</t>
        </is>
      </c>
    </row>
    <row r="36" ht="19.5" customHeight="1">
      <c r="A36" s="180" t="n">
        <v>22</v>
      </c>
      <c r="B36" s="181" t="inlineStr">
        <is>
          <t>30010</t>
        </is>
      </c>
      <c r="C36" s="182" t="inlineStr">
        <is>
          <t>Org Corn Syrup 6-11.75oz</t>
        </is>
      </c>
      <c r="D36" s="191" t="inlineStr">
        <is>
          <t>C</t>
        </is>
      </c>
      <c r="E36" s="184" t="n">
        <v>108</v>
      </c>
      <c r="F36" s="185" t="n">
        <v>47</v>
      </c>
      <c r="G36" s="186" t="n">
        <v>2.3</v>
      </c>
      <c r="H36" s="185" t="n">
        <v>130</v>
      </c>
      <c r="I36" s="187" t="n">
        <v>0.1</v>
      </c>
      <c r="J36" s="181" t="inlineStr">
        <is>
          <t>—</t>
        </is>
      </c>
      <c r="K36" s="185" t="inlineStr">
        <is>
          <t>—</t>
        </is>
      </c>
      <c r="L36" s="185" t="inlineStr">
        <is>
          <t>—</t>
        </is>
      </c>
      <c r="M36" s="189" t="inlineStr">
        <is>
          <t>—</t>
        </is>
      </c>
      <c r="N36" s="190" t="inlineStr">
        <is>
          <t>—</t>
        </is>
      </c>
    </row>
    <row r="37" ht="19.5" customHeight="1">
      <c r="A37" s="193" t="n">
        <v>23</v>
      </c>
      <c r="B37" s="194" t="inlineStr">
        <is>
          <t>89167</t>
        </is>
      </c>
      <c r="C37" s="195" t="inlineStr">
        <is>
          <t>FT Org Honey 6-16oz Sqz</t>
        </is>
      </c>
      <c r="D37" s="191" t="inlineStr">
        <is>
          <t>C</t>
        </is>
      </c>
      <c r="E37" s="196" t="n">
        <v>97</v>
      </c>
      <c r="F37" s="197" t="n">
        <v>22</v>
      </c>
      <c r="G37" s="198" t="n">
        <v>4.4</v>
      </c>
      <c r="H37" s="197" t="n">
        <v>329</v>
      </c>
      <c r="I37" s="199" t="n">
        <v>0.04</v>
      </c>
      <c r="J37" s="194" t="inlineStr">
        <is>
          <t>—</t>
        </is>
      </c>
      <c r="K37" s="197" t="inlineStr">
        <is>
          <t>—</t>
        </is>
      </c>
      <c r="L37" s="197" t="inlineStr">
        <is>
          <t>—</t>
        </is>
      </c>
      <c r="M37" s="200" t="inlineStr">
        <is>
          <t>—</t>
        </is>
      </c>
      <c r="N37" s="201" t="inlineStr">
        <is>
          <t>—</t>
        </is>
      </c>
    </row>
    <row r="38" ht="19.5" customHeight="1">
      <c r="A38" s="180" t="n">
        <v>24</v>
      </c>
      <c r="B38" s="181" t="inlineStr">
        <is>
          <t>89247</t>
        </is>
      </c>
      <c r="C38" s="182" t="inlineStr">
        <is>
          <t>FT Org Honey 6-24oz Sqz</t>
        </is>
      </c>
      <c r="D38" s="191" t="inlineStr">
        <is>
          <t>C</t>
        </is>
      </c>
      <c r="E38" s="184" t="n">
        <v>92</v>
      </c>
      <c r="F38" s="185" t="n">
        <v>31</v>
      </c>
      <c r="G38" s="186" t="n">
        <v>3</v>
      </c>
      <c r="H38" s="185" t="n">
        <v>180</v>
      </c>
      <c r="I38" s="187" t="n">
        <v>0.06</v>
      </c>
      <c r="J38" s="181" t="inlineStr">
        <is>
          <t>—</t>
        </is>
      </c>
      <c r="K38" s="185" t="inlineStr">
        <is>
          <t>—</t>
        </is>
      </c>
      <c r="L38" s="185" t="inlineStr">
        <is>
          <t>—</t>
        </is>
      </c>
      <c r="M38" s="189" t="inlineStr">
        <is>
          <t>—</t>
        </is>
      </c>
      <c r="N38" s="190" t="inlineStr">
        <is>
          <t>—</t>
        </is>
      </c>
    </row>
    <row r="39" ht="19.5" customHeight="1">
      <c r="A39" s="193" t="n">
        <v>25</v>
      </c>
      <c r="B39" s="194" t="inlineStr">
        <is>
          <t>89168</t>
        </is>
      </c>
      <c r="C39" s="195" t="inlineStr">
        <is>
          <t>Org White Honey 16oz</t>
        </is>
      </c>
      <c r="D39" s="191" t="inlineStr">
        <is>
          <t>C</t>
        </is>
      </c>
      <c r="E39" s="196" t="n">
        <v>80</v>
      </c>
      <c r="F39" s="197" t="n">
        <v>32</v>
      </c>
      <c r="G39" s="198" t="n">
        <v>2.5</v>
      </c>
      <c r="H39" s="197" t="n">
        <v>180</v>
      </c>
      <c r="I39" s="199" t="n">
        <v>0.06</v>
      </c>
      <c r="J39" s="194" t="inlineStr">
        <is>
          <t>—</t>
        </is>
      </c>
      <c r="K39" s="197" t="inlineStr">
        <is>
          <t>—</t>
        </is>
      </c>
      <c r="L39" s="197" t="inlineStr">
        <is>
          <t>—</t>
        </is>
      </c>
      <c r="M39" s="200" t="inlineStr">
        <is>
          <t>—</t>
        </is>
      </c>
      <c r="N39" s="201" t="inlineStr">
        <is>
          <t>—</t>
        </is>
      </c>
    </row>
  </sheetData>
  <mergeCells count="4">
    <mergeCell ref="A3:Q3"/>
    <mergeCell ref="A2:Q2"/>
    <mergeCell ref="A1:Q1"/>
    <mergeCell ref="A13:Q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opLeftCell="A3" zoomScaleNormal="100" workbookViewId="0">
      <selection activeCell="A1" sqref="A1"/>
    </sheetView>
  </sheetViews>
  <sheetFormatPr baseColWidth="8" defaultColWidth="8.5703125" defaultRowHeight="14.45"/>
  <cols>
    <col width="14" customWidth="1" min="1" max="12"/>
  </cols>
  <sheetData>
    <row r="1" ht="33.75" customHeight="1">
      <c r="A1" s="271" t="inlineStr">
        <is>
          <t>📝  DESIGN B RATIONALE — Customer-Separated Zones</t>
        </is>
      </c>
    </row>
    <row r="3" ht="19.5" customHeight="1">
      <c r="A3" s="272" t="inlineStr">
        <is>
          <t>CORE PRINCIPLE</t>
        </is>
      </c>
      <c r="B3" s="284" t="n"/>
      <c r="C3" s="284" t="n"/>
      <c r="D3" s="284" t="n"/>
      <c r="E3" s="284" t="n"/>
      <c r="F3" s="284" t="n"/>
      <c r="G3" s="284" t="n"/>
      <c r="H3" s="284" t="n"/>
      <c r="I3" s="284" t="n"/>
      <c r="J3" s="284" t="n"/>
      <c r="K3" s="284" t="n"/>
      <c r="L3" s="284" t="n"/>
    </row>
    <row r="4" ht="43.5" customHeight="1">
      <c r="A4" s="273" t="inlineStr">
        <is>
          <t>Customer-separated racks eliminate cross-rack travel during batch picking. A Target picker works Rack 30 only; an Amazon picker works Rack 31 only. This minimises interference and enables parallel batch processing.</t>
        </is>
      </c>
      <c r="B4" s="284" t="n"/>
      <c r="C4" s="284" t="n"/>
      <c r="D4" s="284" t="n"/>
      <c r="E4" s="284" t="n"/>
      <c r="F4" s="284" t="n"/>
      <c r="G4" s="284" t="n"/>
      <c r="H4" s="284" t="n"/>
      <c r="I4" s="284" t="n"/>
      <c r="J4" s="284" t="n"/>
      <c r="K4" s="284" t="n"/>
      <c r="L4" s="284" t="n"/>
    </row>
    <row r="5" ht="6" customHeight="1"/>
    <row r="6" ht="19.5" customHeight="1">
      <c r="A6" s="272" t="inlineStr">
        <is>
          <t>RACK 30 — TARGET</t>
        </is>
      </c>
      <c r="B6" s="284" t="n"/>
      <c r="C6" s="284" t="n"/>
      <c r="D6" s="284" t="n"/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43.5" customHeight="1">
      <c r="A7" s="273" t="inlineStr">
        <is>
          <t>All 7 Target SKUs assigned exclusively to Rack 30 (odd columns 1–13). A-class SKU 62632 placed at Level A (ground) and Level B (overflow) for fastest forklift cycle. B-class at Level B. C-class also at Level B to keep all Target stock within the two prime forklift levels.</t>
        </is>
      </c>
      <c r="B7" s="284" t="n"/>
      <c r="C7" s="284" t="n"/>
      <c r="D7" s="284" t="n"/>
      <c r="E7" s="284" t="n"/>
      <c r="F7" s="284" t="n"/>
      <c r="G7" s="284" t="n"/>
      <c r="H7" s="284" t="n"/>
      <c r="I7" s="284" t="n"/>
      <c r="J7" s="284" t="n"/>
      <c r="K7" s="284" t="n"/>
      <c r="L7" s="284" t="n"/>
    </row>
    <row r="8" ht="6" customHeight="1"/>
    <row r="9" ht="19.5" customHeight="1">
      <c r="A9" s="272" t="inlineStr">
        <is>
          <t>RACK 31 — AMAZON</t>
        </is>
      </c>
      <c r="B9" s="284" t="n"/>
      <c r="C9" s="284" t="n"/>
      <c r="D9" s="284" t="n"/>
      <c r="E9" s="284" t="n"/>
      <c r="F9" s="284" t="n"/>
      <c r="G9" s="284" t="n"/>
      <c r="H9" s="284" t="n"/>
      <c r="I9" s="284" t="n"/>
      <c r="J9" s="284" t="n"/>
      <c r="K9" s="284" t="n"/>
      <c r="L9" s="284" t="n"/>
    </row>
    <row r="10" ht="43.5" customHeight="1">
      <c r="A10" s="273" t="inlineStr">
        <is>
          <t>25 Amazon SKUs span all 16 columns. A-class (95612, 45022, 32004) at Level A, cols 1–3. B-class (95812, 46410, 45021, 44652) also at Level A, cols 4–7 — given their combined volume. C-class fills Level B (cols 7–14) then Level C for the 3 lowest-volume SKUs.</t>
        </is>
      </c>
      <c r="B10" s="284" t="n"/>
      <c r="C10" s="284" t="n"/>
      <c r="D10" s="284" t="n"/>
      <c r="E10" s="284" t="n"/>
      <c r="F10" s="284" t="n"/>
      <c r="G10" s="284" t="n"/>
      <c r="H10" s="284" t="n"/>
      <c r="I10" s="284" t="n"/>
      <c r="J10" s="284" t="n"/>
      <c r="K10" s="284" t="n"/>
      <c r="L10" s="284" t="n"/>
    </row>
    <row r="11" ht="6" customHeight="1"/>
    <row r="12" ht="19.5" customHeight="1">
      <c r="A12" s="272" t="inlineStr">
        <is>
          <t>KEY ADVANTAGE vs Design A</t>
        </is>
      </c>
      <c r="B12" s="284" t="n"/>
      <c r="C12" s="284" t="n"/>
      <c r="D12" s="284" t="n"/>
      <c r="E12" s="284" t="n"/>
      <c r="F12" s="284" t="n"/>
      <c r="G12" s="284" t="n"/>
      <c r="H12" s="284" t="n"/>
      <c r="I12" s="284" t="n"/>
      <c r="J12" s="284" t="n"/>
      <c r="K12" s="284" t="n"/>
      <c r="L12" s="284" t="n"/>
    </row>
    <row r="13" ht="43.5" customHeight="1">
      <c r="A13" s="273" t="inlineStr">
        <is>
          <t>Design A mixes Target and Amazon in both racks. Design B means a Target picker never touches Rack 31 and vice versa. During concurrent Target + Amazon batch runs this cuts contention time and eliminates confusion about which rack to visit.</t>
        </is>
      </c>
      <c r="B13" s="284" t="n"/>
      <c r="C13" s="284" t="n"/>
      <c r="D13" s="284" t="n"/>
      <c r="E13" s="284" t="n"/>
      <c r="F13" s="284" t="n"/>
      <c r="G13" s="284" t="n"/>
      <c r="H13" s="284" t="n"/>
      <c r="I13" s="284" t="n"/>
      <c r="J13" s="284" t="n"/>
      <c r="K13" s="284" t="n"/>
      <c r="L13" s="284" t="n"/>
    </row>
    <row r="14" ht="6" customHeight="1"/>
    <row r="15" ht="19.5" customHeight="1">
      <c r="A15" s="272" t="inlineStr">
        <is>
          <t>TRADE-OFF</t>
        </is>
      </c>
      <c r="B15" s="284" t="n"/>
      <c r="C15" s="284" t="n"/>
      <c r="D15" s="284" t="n"/>
      <c r="E15" s="284" t="n"/>
      <c r="F15" s="284" t="n"/>
      <c r="G15" s="284" t="n"/>
      <c r="H15" s="284" t="n"/>
      <c r="I15" s="284" t="n"/>
      <c r="J15" s="284" t="n"/>
      <c r="K15" s="284" t="n"/>
      <c r="L15" s="284" t="n"/>
    </row>
    <row r="16" ht="43.5" customHeight="1">
      <c r="A16" s="273" t="inlineStr">
        <is>
          <t>Rack 30 has 9 unused columns (cols 15–31) fully available for overflow or future SKUs. Rack 31 is denser — 8 C-class SKUs share Level B/C across 9 columns. If Amazon SKU count grows, Level C capacity absorbs expansion without disrupting A/B-class positions.</t>
        </is>
      </c>
      <c r="B16" s="284" t="n"/>
      <c r="C16" s="284" t="n"/>
      <c r="D16" s="284" t="n"/>
      <c r="E16" s="284" t="n"/>
      <c r="F16" s="284" t="n"/>
      <c r="G16" s="284" t="n"/>
      <c r="H16" s="284" t="n"/>
      <c r="I16" s="284" t="n"/>
      <c r="J16" s="284" t="n"/>
      <c r="K16" s="284" t="n"/>
      <c r="L16" s="284" t="n"/>
    </row>
    <row r="17" ht="6" customHeight="1"/>
    <row r="18" ht="19.5" customHeight="1">
      <c r="A18" s="272" t="inlineStr">
        <is>
          <t>NVA IMPACT</t>
        </is>
      </c>
      <c r="B18" s="284" t="n"/>
      <c r="C18" s="284" t="n"/>
      <c r="D18" s="284" t="n"/>
      <c r="E18" s="284" t="n"/>
      <c r="F18" s="284" t="n"/>
      <c r="G18" s="284" t="n"/>
      <c r="H18" s="284" t="n"/>
      <c r="I18" s="284" t="n"/>
      <c r="J18" s="284" t="n"/>
      <c r="K18" s="284" t="n"/>
      <c r="L18" s="284" t="n"/>
    </row>
    <row r="19" ht="43.5" customHeight="1">
      <c r="A19" s="273" t="inlineStr">
        <is>
          <t>Eliminates 'Search Floor for Partial Pallet' NVA. Same 78% NVA reduction as Design A. Additionally reduces picker cognitive load — only one rack to memorise per customer run.</t>
        </is>
      </c>
      <c r="B19" s="284" t="n"/>
      <c r="C19" s="284" t="n"/>
      <c r="D19" s="284" t="n"/>
      <c r="E19" s="284" t="n"/>
      <c r="F19" s="284" t="n"/>
      <c r="G19" s="284" t="n"/>
      <c r="H19" s="284" t="n"/>
      <c r="I19" s="284" t="n"/>
      <c r="J19" s="284" t="n"/>
      <c r="K19" s="284" t="n"/>
      <c r="L19" s="284" t="n"/>
    </row>
    <row r="20" ht="6" customHeight="1"/>
    <row r="21" ht="19.5" customHeight="1">
      <c r="A21" s="272" t="inlineStr">
        <is>
          <t>LEVEL PRIORITY</t>
        </is>
      </c>
      <c r="B21" s="284" t="n"/>
      <c r="C21" s="284" t="n"/>
      <c r="D21" s="284" t="n"/>
      <c r="E21" s="284" t="n"/>
      <c r="F21" s="284" t="n"/>
      <c r="G21" s="284" t="n"/>
      <c r="H21" s="284" t="n"/>
      <c r="I21" s="284" t="n"/>
      <c r="J21" s="284" t="n"/>
      <c r="K21" s="284" t="n"/>
      <c r="L21" s="284" t="n"/>
    </row>
    <row r="22" ht="43.5" customHeight="1">
      <c r="A22" s="273" t="inlineStr">
        <is>
          <t>Forklift priority unchanged: Level A (0–6 ft) = fastest; Level B (6–12 ft) = fast. Both customer racks lead with A-class at Level A.</t>
        </is>
      </c>
      <c r="B22" s="284" t="n"/>
      <c r="C22" s="284" t="n"/>
      <c r="D22" s="284" t="n"/>
      <c r="E22" s="284" t="n"/>
      <c r="F22" s="284" t="n"/>
      <c r="G22" s="284" t="n"/>
      <c r="H22" s="284" t="n"/>
      <c r="I22" s="284" t="n"/>
      <c r="J22" s="284" t="n"/>
      <c r="K22" s="284" t="n"/>
      <c r="L22" s="284" t="n"/>
    </row>
    <row r="23" ht="6" customHeight="1"/>
  </sheetData>
  <mergeCells count="15">
    <mergeCell ref="A16:L16"/>
    <mergeCell ref="A15:L15"/>
    <mergeCell ref="A10:L10"/>
    <mergeCell ref="A7:L7"/>
    <mergeCell ref="A19:L19"/>
    <mergeCell ref="A1:L1"/>
    <mergeCell ref="A13:L13"/>
    <mergeCell ref="A6:L6"/>
    <mergeCell ref="A22:L22"/>
    <mergeCell ref="A18:L18"/>
    <mergeCell ref="A9:L9"/>
    <mergeCell ref="A3:L3"/>
    <mergeCell ref="A21:L21"/>
    <mergeCell ref="A12:L12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4"/>
  <sheetViews>
    <sheetView showGridLines="0" topLeftCell="A2" zoomScaleNormal="100" workbookViewId="0">
      <selection activeCell="X32" sqref="X32"/>
    </sheetView>
  </sheetViews>
  <sheetFormatPr baseColWidth="8" defaultColWidth="8.5703125" defaultRowHeight="14.45"/>
  <cols>
    <col width="9" customWidth="1" min="1" max="1"/>
    <col width="13" customWidth="1" min="2" max="33"/>
  </cols>
  <sheetData>
    <row r="1" ht="33.75" customHeight="1">
      <c r="A1" s="210" t="inlineStr">
        <is>
          <t>DESIGN C  Velocity-Tiered Rack  |  Rack 30 = A+B class (all customers)  |  Rack 31 = C class overflow</t>
        </is>
      </c>
    </row>
    <row r="2" ht="15.75" customHeight="1">
      <c r="A2" s="211" t="inlineStr">
        <is>
          <t>Logic: SKUs grouped strictly by velocity — A-class front/Level A, B-class mid/Level A, C-class Rack 31  |  Fastest picks always in first 6 columns of Rack 30 regardless of customer</t>
        </is>
      </c>
    </row>
    <row r="3" ht="6" customHeight="1"/>
    <row r="4" ht="19.5" customHeight="1">
      <c r="A4" s="274" t="inlineStr">
        <is>
          <t>▼  RACK 30 — ALL A-CLASS (cols 1–7) + ALL B-CLASS (cols 9–21) + top C overflow  |  A-class at Level A &amp; B  |  B-class at Level A</t>
        </is>
      </c>
    </row>
    <row r="5" ht="18" customHeight="1">
      <c r="A5" s="264" t="inlineStr">
        <is>
          <t xml:space="preserve">  Level A — PRIME (~0–6 ft, ground, immediate forklift access)</t>
        </is>
      </c>
      <c r="B5" s="284" t="n"/>
      <c r="C5" s="284" t="n"/>
      <c r="D5" s="284" t="n"/>
      <c r="E5" s="284" t="n"/>
      <c r="F5" s="284" t="n"/>
      <c r="G5" s="284" t="n"/>
      <c r="H5" s="284" t="n"/>
      <c r="I5" s="265" t="inlineStr">
        <is>
          <t xml:space="preserve">  Level B — HIGH (~6–12 ft, second level, fast access)</t>
        </is>
      </c>
      <c r="J5" s="284" t="n"/>
      <c r="K5" s="284" t="n"/>
      <c r="L5" s="284" t="n"/>
      <c r="M5" s="284" t="n"/>
      <c r="N5" s="284" t="n"/>
      <c r="O5" s="284" t="n"/>
      <c r="P5" s="284" t="n"/>
      <c r="Q5" s="266" t="inlineStr">
        <is>
          <t xml:space="preserve">  Level C — MEDIUM (~12–18 ft, moderate reach)</t>
        </is>
      </c>
      <c r="R5" s="284" t="n"/>
      <c r="S5" s="284" t="n"/>
      <c r="T5" s="284" t="n"/>
      <c r="U5" s="284" t="n"/>
      <c r="V5" s="284" t="n"/>
      <c r="W5" s="284" t="n"/>
      <c r="X5" s="284" t="n"/>
      <c r="Y5" s="267" t="inlineStr">
        <is>
          <t xml:space="preserve">  Level D — UPPER (~18–24 ft, slowest access)</t>
        </is>
      </c>
      <c r="Z5" s="284" t="n"/>
      <c r="AA5" s="284" t="n"/>
      <c r="AB5" s="284" t="n"/>
      <c r="AC5" s="284" t="n"/>
      <c r="AD5" s="284" t="n"/>
      <c r="AE5" s="284" t="n"/>
      <c r="AF5" s="284" t="n"/>
    </row>
    <row r="6" ht="3.75" customHeight="1"/>
    <row r="7" ht="19.5" customHeight="1">
      <c r="A7" s="159" t="inlineStr">
        <is>
          <t>LEVEL</t>
        </is>
      </c>
      <c r="B7" s="268" t="inlineStr">
        <is>
          <t>Col 1</t>
        </is>
      </c>
      <c r="C7" s="284" t="n"/>
      <c r="D7" s="268" t="inlineStr">
        <is>
          <t>Col 3</t>
        </is>
      </c>
      <c r="E7" s="284" t="n"/>
      <c r="F7" s="268" t="inlineStr">
        <is>
          <t>Col 5</t>
        </is>
      </c>
      <c r="G7" s="284" t="n"/>
      <c r="H7" s="268" t="inlineStr">
        <is>
          <t>Col 7</t>
        </is>
      </c>
      <c r="I7" s="284" t="n"/>
      <c r="J7" s="268" t="inlineStr">
        <is>
          <t>Col 9</t>
        </is>
      </c>
      <c r="K7" s="284" t="n"/>
      <c r="L7" s="268" t="inlineStr">
        <is>
          <t>Col 11</t>
        </is>
      </c>
      <c r="M7" s="284" t="n"/>
      <c r="N7" s="268" t="inlineStr">
        <is>
          <t>Col 13</t>
        </is>
      </c>
      <c r="O7" s="284" t="n"/>
      <c r="P7" s="268" t="inlineStr">
        <is>
          <t>Col 15</t>
        </is>
      </c>
      <c r="Q7" s="284" t="n"/>
      <c r="R7" s="268" t="inlineStr">
        <is>
          <t>Col 17</t>
        </is>
      </c>
      <c r="S7" s="284" t="n"/>
      <c r="T7" s="268" t="inlineStr">
        <is>
          <t>Col 19</t>
        </is>
      </c>
      <c r="U7" s="284" t="n"/>
      <c r="V7" s="268" t="inlineStr">
        <is>
          <t>Col 21</t>
        </is>
      </c>
      <c r="W7" s="284" t="n"/>
      <c r="X7" s="268" t="inlineStr">
        <is>
          <t>Col 23</t>
        </is>
      </c>
      <c r="Y7" s="284" t="n"/>
      <c r="Z7" s="268" t="inlineStr">
        <is>
          <t>Col 25</t>
        </is>
      </c>
      <c r="AA7" s="284" t="n"/>
      <c r="AB7" s="268" t="inlineStr">
        <is>
          <t>Col 27</t>
        </is>
      </c>
      <c r="AC7" s="284" t="n"/>
      <c r="AD7" s="268" t="inlineStr">
        <is>
          <t>Col 29</t>
        </is>
      </c>
      <c r="AE7" s="284" t="n"/>
      <c r="AF7" s="268" t="inlineStr">
        <is>
          <t>Col 31</t>
        </is>
      </c>
      <c r="AG7" s="284" t="n"/>
    </row>
    <row r="8" ht="15.75" customHeight="1">
      <c r="A8" s="52" t="n"/>
      <c r="B8" s="160" t="inlineStr">
        <is>
          <t>Pallet 1</t>
        </is>
      </c>
      <c r="C8" s="160" t="inlineStr">
        <is>
          <t>Pallet 2</t>
        </is>
      </c>
      <c r="D8" s="160" t="inlineStr">
        <is>
          <t>Pallet 1</t>
        </is>
      </c>
      <c r="E8" s="160" t="inlineStr">
        <is>
          <t>Pallet 2</t>
        </is>
      </c>
      <c r="F8" s="160" t="inlineStr">
        <is>
          <t>Pallet 1</t>
        </is>
      </c>
      <c r="G8" s="160" t="inlineStr">
        <is>
          <t>Pallet 2</t>
        </is>
      </c>
      <c r="H8" s="160" t="inlineStr">
        <is>
          <t>Pallet 1</t>
        </is>
      </c>
      <c r="I8" s="160" t="inlineStr">
        <is>
          <t>Pallet 2</t>
        </is>
      </c>
      <c r="J8" s="160" t="inlineStr">
        <is>
          <t>Pallet 1</t>
        </is>
      </c>
      <c r="K8" s="160" t="inlineStr">
        <is>
          <t>Pallet 2</t>
        </is>
      </c>
      <c r="L8" s="160" t="inlineStr">
        <is>
          <t>Pallet 1</t>
        </is>
      </c>
      <c r="M8" s="160" t="inlineStr">
        <is>
          <t>Pallet 2</t>
        </is>
      </c>
      <c r="N8" s="160" t="inlineStr">
        <is>
          <t>Pallet 1</t>
        </is>
      </c>
      <c r="O8" s="160" t="inlineStr">
        <is>
          <t>Pallet 2</t>
        </is>
      </c>
      <c r="P8" s="160" t="inlineStr">
        <is>
          <t>Pallet 1</t>
        </is>
      </c>
      <c r="Q8" s="160" t="inlineStr">
        <is>
          <t>Pallet 2</t>
        </is>
      </c>
      <c r="R8" s="160" t="inlineStr">
        <is>
          <t>Pallet 1</t>
        </is>
      </c>
      <c r="S8" s="160" t="inlineStr">
        <is>
          <t>Pallet 2</t>
        </is>
      </c>
      <c r="T8" s="160" t="inlineStr">
        <is>
          <t>Pallet 1</t>
        </is>
      </c>
      <c r="U8" s="160" t="inlineStr">
        <is>
          <t>Pallet 2</t>
        </is>
      </c>
      <c r="V8" s="160" t="inlineStr">
        <is>
          <t>Pallet 1</t>
        </is>
      </c>
      <c r="W8" s="160" t="inlineStr">
        <is>
          <t>Pallet 2</t>
        </is>
      </c>
      <c r="X8" s="160" t="inlineStr">
        <is>
          <t>Pallet 1</t>
        </is>
      </c>
      <c r="Y8" s="160" t="inlineStr">
        <is>
          <t>Pallet 2</t>
        </is>
      </c>
      <c r="Z8" s="160" t="inlineStr">
        <is>
          <t>Pallet 1</t>
        </is>
      </c>
      <c r="AA8" s="160" t="inlineStr">
        <is>
          <t>Pallet 2</t>
        </is>
      </c>
      <c r="AB8" s="160" t="inlineStr">
        <is>
          <t>Pallet 1</t>
        </is>
      </c>
      <c r="AC8" s="160" t="inlineStr">
        <is>
          <t>Pallet 2</t>
        </is>
      </c>
      <c r="AD8" s="160" t="inlineStr">
        <is>
          <t>Pallet 1</t>
        </is>
      </c>
      <c r="AE8" s="160" t="inlineStr">
        <is>
          <t>Pallet 2</t>
        </is>
      </c>
      <c r="AF8" s="160" t="inlineStr">
        <is>
          <t>Pallet 1</t>
        </is>
      </c>
      <c r="AG8" s="160" t="inlineStr">
        <is>
          <t>Pallet 2</t>
        </is>
      </c>
    </row>
    <row r="9" ht="48" customHeight="1">
      <c r="A9" s="161" t="inlineStr">
        <is>
          <t>Level A
(~0–6ft)</t>
        </is>
      </c>
      <c r="B9" s="162" t="inlineStr">
        <is>
          <t>[TAR]
62632
GG Org Sugar 6ct-2lb</t>
        </is>
      </c>
      <c r="C9" s="162" t="inlineStr">
        <is>
          <t>[TAR]
62632
GG Org Sugar 6ct-2lb</t>
        </is>
      </c>
      <c r="D9" s="167" t="inlineStr">
        <is>
          <t>[AMA]
95612
WS Allulose Liquid 6ct</t>
        </is>
      </c>
      <c r="E9" s="167" t="inlineStr">
        <is>
          <t>[AMA]
95612
WS Allulose Liquid 6ct</t>
        </is>
      </c>
      <c r="F9" s="167" t="inlineStr">
        <is>
          <t>[AMA]
45022
WS FT Molasses 12-32oz</t>
        </is>
      </c>
      <c r="G9" s="167" t="inlineStr">
        <is>
          <t>[AMA]
45022
WS FT Molasses 12-32oz</t>
        </is>
      </c>
      <c r="H9" s="167" t="inlineStr">
        <is>
          <t>[AMA]
32004
WSI Org ECJ PWD 6ct-1lb</t>
        </is>
      </c>
      <c r="I9" s="167" t="inlineStr">
        <is>
          <t>[AMA]
32004
WSI Org ECJ PWD 6ct-1lb</t>
        </is>
      </c>
      <c r="J9" s="162" t="inlineStr">
        <is>
          <t>[TAR]
62641
GG Org Lt Brown 6ct-1.5lb</t>
        </is>
      </c>
      <c r="K9" s="162" t="inlineStr">
        <is>
          <t>[TAR]
62641
GG Org Lt Brown 6ct-1.5lb</t>
        </is>
      </c>
      <c r="L9" s="162" t="inlineStr">
        <is>
          <t>[TAR]
62004
GG Org Pwd Sugar 6ct-1lb</t>
        </is>
      </c>
      <c r="M9" s="162" t="inlineStr">
        <is>
          <t>[TAR]
62004
GG Org Pwd Sugar 6ct-1lb</t>
        </is>
      </c>
      <c r="N9" s="167" t="inlineStr">
        <is>
          <t>[AMA]
95812
W Allulose 8ct-12oz</t>
        </is>
      </c>
      <c r="O9" s="167" t="inlineStr">
        <is>
          <t>[AMA]
95812
W Allulose 8ct-12oz</t>
        </is>
      </c>
      <c r="P9" s="167" t="inlineStr">
        <is>
          <t>[AMA]
46410
WS FT Org Sugar 4-10lb</t>
        </is>
      </c>
      <c r="Q9" s="167" t="inlineStr">
        <is>
          <t>[AMA]
46410
WS FT Org Sugar 4-10lb</t>
        </is>
      </c>
      <c r="R9" s="167" t="inlineStr">
        <is>
          <t>[AMA]
45021
WS FT Molasses 12-16oz</t>
        </is>
      </c>
      <c r="S9" s="167" t="inlineStr">
        <is>
          <t>[AMA]
45021
WS FT Molasses 12-16oz</t>
        </is>
      </c>
      <c r="T9" s="167" t="inlineStr">
        <is>
          <t>[AMA]
44652
FT Org Dk Brown 6ct-1.5lb</t>
        </is>
      </c>
      <c r="U9" s="167" t="inlineStr">
        <is>
          <t>[AMA]
44652
FT Org Dk Brown 6ct-1.5lb</t>
        </is>
      </c>
      <c r="V9" s="163" t="inlineStr">
        <is>
          <t>—</t>
        </is>
      </c>
      <c r="W9" s="163" t="inlineStr">
        <is>
          <t>—</t>
        </is>
      </c>
      <c r="X9" s="163" t="inlineStr">
        <is>
          <t>—</t>
        </is>
      </c>
      <c r="Y9" s="163" t="inlineStr">
        <is>
          <t>—</t>
        </is>
      </c>
      <c r="Z9" s="163" t="inlineStr">
        <is>
          <t>—</t>
        </is>
      </c>
      <c r="AA9" s="163" t="inlineStr">
        <is>
          <t>—</t>
        </is>
      </c>
      <c r="AB9" s="163" t="inlineStr">
        <is>
          <t>—</t>
        </is>
      </c>
      <c r="AC9" s="163" t="inlineStr">
        <is>
          <t>—</t>
        </is>
      </c>
      <c r="AD9" s="163" t="inlineStr">
        <is>
          <t>—</t>
        </is>
      </c>
      <c r="AE9" s="163" t="inlineStr">
        <is>
          <t>—</t>
        </is>
      </c>
      <c r="AF9" s="163" t="inlineStr">
        <is>
          <t>—</t>
        </is>
      </c>
      <c r="AG9" s="163" t="inlineStr">
        <is>
          <t>—</t>
        </is>
      </c>
    </row>
    <row r="10" ht="48" customHeight="1">
      <c r="A10" s="164" t="inlineStr">
        <is>
          <t>Level B
(~6–12ft)</t>
        </is>
      </c>
      <c r="B10" s="162" t="inlineStr">
        <is>
          <t>[TAR]
62632
GG Org Sugar 6ct-2lb</t>
        </is>
      </c>
      <c r="C10" s="162" t="inlineStr">
        <is>
          <t>[TAR]
62632
GG Org Sugar 6ct-2lb</t>
        </is>
      </c>
      <c r="D10" s="167" t="inlineStr">
        <is>
          <t>[AMA]
95612
WS Allulose Liquid 6ct</t>
        </is>
      </c>
      <c r="E10" s="167" t="inlineStr">
        <is>
          <t>[AMA]
95612
WS Allulose Liquid 6ct</t>
        </is>
      </c>
      <c r="F10" s="167" t="inlineStr">
        <is>
          <t>[AMA]
45022
WS FT Molasses 12-32oz</t>
        </is>
      </c>
      <c r="G10" s="167" t="inlineStr">
        <is>
          <t>[AMA]
45022
WS FT Molasses 12-32oz</t>
        </is>
      </c>
      <c r="H10" s="167" t="inlineStr">
        <is>
          <t>[AMA]
32004
WSI Org ECJ PWD 6ct-1lb</t>
        </is>
      </c>
      <c r="I10" s="167" t="inlineStr">
        <is>
          <t>[AMA]
32004
WSI Org ECJ PWD 6ct-1lb</t>
        </is>
      </c>
      <c r="J10" s="163" t="inlineStr">
        <is>
          <t>—</t>
        </is>
      </c>
      <c r="K10" s="163" t="inlineStr">
        <is>
          <t>—</t>
        </is>
      </c>
      <c r="L10" s="163" t="inlineStr">
        <is>
          <t>—</t>
        </is>
      </c>
      <c r="M10" s="163" t="inlineStr">
        <is>
          <t>—</t>
        </is>
      </c>
      <c r="N10" s="163" t="inlineStr">
        <is>
          <t>—</t>
        </is>
      </c>
      <c r="O10" s="163" t="inlineStr">
        <is>
          <t>—</t>
        </is>
      </c>
      <c r="P10" s="163" t="inlineStr">
        <is>
          <t>—</t>
        </is>
      </c>
      <c r="Q10" s="163" t="inlineStr">
        <is>
          <t>—</t>
        </is>
      </c>
      <c r="R10" s="163" t="inlineStr">
        <is>
          <t>—</t>
        </is>
      </c>
      <c r="S10" s="163" t="inlineStr">
        <is>
          <t>—</t>
        </is>
      </c>
      <c r="T10" s="163" t="inlineStr">
        <is>
          <t>—</t>
        </is>
      </c>
      <c r="U10" s="163" t="inlineStr">
        <is>
          <t>—</t>
        </is>
      </c>
      <c r="V10" s="162" t="inlineStr">
        <is>
          <t>[TAR]
62106
GG Org Coconut Palm 6ct</t>
        </is>
      </c>
      <c r="W10" s="162" t="inlineStr">
        <is>
          <t>[TAR]
62106
GG Org Coconut Palm 6ct</t>
        </is>
      </c>
      <c r="X10" s="162" t="inlineStr">
        <is>
          <t>[TAR]
62231
GG Org Light Agave 6ct</t>
        </is>
      </c>
      <c r="Y10" s="162" t="inlineStr">
        <is>
          <t>[TAR]
62231
GG Org Light Agave 6ct</t>
        </is>
      </c>
      <c r="Z10" s="162" t="inlineStr">
        <is>
          <t>[TAR]
62432
GG Org Sugar 6ct-4lb</t>
        </is>
      </c>
      <c r="AA10" s="162" t="inlineStr">
        <is>
          <t>[TAR]
62432
GG Org Sugar 6ct-4lb</t>
        </is>
      </c>
      <c r="AB10" s="162" t="inlineStr">
        <is>
          <t>[TAR]
62232
GG Org Raw Agave 6ct</t>
        </is>
      </c>
      <c r="AC10" s="162" t="inlineStr">
        <is>
          <t>[TAR]
62232
GG Org Raw Agave 6ct</t>
        </is>
      </c>
      <c r="AD10" s="167" t="inlineStr">
        <is>
          <t>[AMA]
94675
Org Stevia 6ct 75-1g</t>
        </is>
      </c>
      <c r="AE10" s="167" t="inlineStr">
        <is>
          <t>[AMA]
94675
Org Stevia 6ct 75-1g</t>
        </is>
      </c>
      <c r="AF10" s="167" t="inlineStr">
        <is>
          <t>[AMA]
92106
Org Coconut Palm 6ct-1lb</t>
        </is>
      </c>
      <c r="AG10" s="167" t="inlineStr">
        <is>
          <t>[AMA]
92106
Org Coconut Palm 6ct-1lb</t>
        </is>
      </c>
    </row>
    <row r="11" ht="48" customHeight="1">
      <c r="A11" s="165" t="inlineStr">
        <is>
          <t>Level C
(~12–18ft)</t>
        </is>
      </c>
      <c r="B11" s="163" t="inlineStr">
        <is>
          <t>—</t>
        </is>
      </c>
      <c r="C11" s="163" t="inlineStr">
        <is>
          <t>—</t>
        </is>
      </c>
      <c r="D11" s="163" t="inlineStr">
        <is>
          <t>—</t>
        </is>
      </c>
      <c r="E11" s="163" t="inlineStr">
        <is>
          <t>—</t>
        </is>
      </c>
      <c r="F11" s="163" t="inlineStr">
        <is>
          <t>—</t>
        </is>
      </c>
      <c r="G11" s="163" t="inlineStr">
        <is>
          <t>—</t>
        </is>
      </c>
      <c r="H11" s="163" t="inlineStr">
        <is>
          <t>—</t>
        </is>
      </c>
      <c r="I11" s="163" t="inlineStr">
        <is>
          <t>—</t>
        </is>
      </c>
      <c r="J11" s="163" t="inlineStr">
        <is>
          <t>—</t>
        </is>
      </c>
      <c r="K11" s="163" t="inlineStr">
        <is>
          <t>—</t>
        </is>
      </c>
      <c r="L11" s="163" t="inlineStr">
        <is>
          <t>—</t>
        </is>
      </c>
      <c r="M11" s="163" t="inlineStr">
        <is>
          <t>—</t>
        </is>
      </c>
      <c r="N11" s="163" t="inlineStr">
        <is>
          <t>—</t>
        </is>
      </c>
      <c r="O11" s="163" t="inlineStr">
        <is>
          <t>—</t>
        </is>
      </c>
      <c r="P11" s="163" t="inlineStr">
        <is>
          <t>—</t>
        </is>
      </c>
      <c r="Q11" s="163" t="inlineStr">
        <is>
          <t>—</t>
        </is>
      </c>
      <c r="R11" s="163" t="inlineStr">
        <is>
          <t>—</t>
        </is>
      </c>
      <c r="S11" s="163" t="inlineStr">
        <is>
          <t>—</t>
        </is>
      </c>
      <c r="T11" s="163" t="inlineStr">
        <is>
          <t>—</t>
        </is>
      </c>
      <c r="U11" s="163" t="inlineStr">
        <is>
          <t>—</t>
        </is>
      </c>
      <c r="V11" s="163" t="inlineStr">
        <is>
          <t>—</t>
        </is>
      </c>
      <c r="W11" s="163" t="inlineStr">
        <is>
          <t>—</t>
        </is>
      </c>
      <c r="X11" s="163" t="inlineStr">
        <is>
          <t>—</t>
        </is>
      </c>
      <c r="Y11" s="163" t="inlineStr">
        <is>
          <t>—</t>
        </is>
      </c>
      <c r="Z11" s="163" t="inlineStr">
        <is>
          <t>—</t>
        </is>
      </c>
      <c r="AA11" s="163" t="inlineStr">
        <is>
          <t>—</t>
        </is>
      </c>
      <c r="AB11" s="163" t="inlineStr">
        <is>
          <t>—</t>
        </is>
      </c>
      <c r="AC11" s="163" t="inlineStr">
        <is>
          <t>—</t>
        </is>
      </c>
      <c r="AD11" s="163" t="inlineStr">
        <is>
          <t>—</t>
        </is>
      </c>
      <c r="AE11" s="163" t="inlineStr">
        <is>
          <t>—</t>
        </is>
      </c>
      <c r="AF11" s="163" t="inlineStr">
        <is>
          <t>—</t>
        </is>
      </c>
      <c r="AG11" s="163" t="inlineStr">
        <is>
          <t>—</t>
        </is>
      </c>
    </row>
    <row r="12" ht="48" customHeight="1">
      <c r="A12" s="166" t="inlineStr">
        <is>
          <t>Level D
(~18–24ft)</t>
        </is>
      </c>
      <c r="B12" s="163" t="inlineStr">
        <is>
          <t>—</t>
        </is>
      </c>
      <c r="C12" s="163" t="inlineStr">
        <is>
          <t>—</t>
        </is>
      </c>
      <c r="D12" s="163" t="inlineStr">
        <is>
          <t>—</t>
        </is>
      </c>
      <c r="E12" s="163" t="inlineStr">
        <is>
          <t>—</t>
        </is>
      </c>
      <c r="F12" s="163" t="inlineStr">
        <is>
          <t>—</t>
        </is>
      </c>
      <c r="G12" s="163" t="inlineStr">
        <is>
          <t>—</t>
        </is>
      </c>
      <c r="H12" s="163" t="inlineStr">
        <is>
          <t>—</t>
        </is>
      </c>
      <c r="I12" s="163" t="inlineStr">
        <is>
          <t>—</t>
        </is>
      </c>
      <c r="J12" s="163" t="inlineStr">
        <is>
          <t>—</t>
        </is>
      </c>
      <c r="K12" s="163" t="inlineStr">
        <is>
          <t>—</t>
        </is>
      </c>
      <c r="L12" s="163" t="inlineStr">
        <is>
          <t>—</t>
        </is>
      </c>
      <c r="M12" s="163" t="inlineStr">
        <is>
          <t>—</t>
        </is>
      </c>
      <c r="N12" s="163" t="inlineStr">
        <is>
          <t>—</t>
        </is>
      </c>
      <c r="O12" s="163" t="inlineStr">
        <is>
          <t>—</t>
        </is>
      </c>
      <c r="P12" s="163" t="inlineStr">
        <is>
          <t>—</t>
        </is>
      </c>
      <c r="Q12" s="163" t="inlineStr">
        <is>
          <t>—</t>
        </is>
      </c>
      <c r="R12" s="163" t="inlineStr">
        <is>
          <t>—</t>
        </is>
      </c>
      <c r="S12" s="163" t="inlineStr">
        <is>
          <t>—</t>
        </is>
      </c>
      <c r="T12" s="163" t="inlineStr">
        <is>
          <t>—</t>
        </is>
      </c>
      <c r="U12" s="163" t="inlineStr">
        <is>
          <t>—</t>
        </is>
      </c>
      <c r="V12" s="163" t="inlineStr">
        <is>
          <t>—</t>
        </is>
      </c>
      <c r="W12" s="163" t="inlineStr">
        <is>
          <t>—</t>
        </is>
      </c>
      <c r="X12" s="163" t="inlineStr">
        <is>
          <t>—</t>
        </is>
      </c>
      <c r="Y12" s="163" t="inlineStr">
        <is>
          <t>—</t>
        </is>
      </c>
      <c r="Z12" s="163" t="inlineStr">
        <is>
          <t>—</t>
        </is>
      </c>
      <c r="AA12" s="163" t="inlineStr">
        <is>
          <t>—</t>
        </is>
      </c>
      <c r="AB12" s="163" t="inlineStr">
        <is>
          <t>—</t>
        </is>
      </c>
      <c r="AC12" s="163" t="inlineStr">
        <is>
          <t>—</t>
        </is>
      </c>
      <c r="AD12" s="163" t="inlineStr">
        <is>
          <t>—</t>
        </is>
      </c>
      <c r="AE12" s="163" t="inlineStr">
        <is>
          <t>—</t>
        </is>
      </c>
      <c r="AF12" s="163" t="inlineStr">
        <is>
          <t>—</t>
        </is>
      </c>
      <c r="AG12" s="163" t="inlineStr">
        <is>
          <t>—</t>
        </is>
      </c>
    </row>
    <row r="13" ht="19.5" customHeight="1">
      <c r="A13" s="269" t="inlineStr">
        <is>
          <t>Rack 30 | 16 columns × 4 levels × 2 pallets = 128 total pallet spaces  |  Design C: A+B class all customers  |  SKUs assigned: 20 cells  |  Available: 44 cells</t>
        </is>
      </c>
    </row>
    <row r="14" ht="9.75" customHeight="1"/>
    <row r="15" ht="19.5" customHeight="1">
      <c r="A15" s="274" t="inlineStr">
        <is>
          <t>▼  RACK 31 — ALL C-CLASS SKUs (Target + Amazon)  |  Sorted by volume desc  |  Level A → B → C as volume decreases</t>
        </is>
      </c>
    </row>
    <row r="16" ht="18" customHeight="1">
      <c r="A16" s="264" t="inlineStr">
        <is>
          <t xml:space="preserve">  Level A — PRIME (~0–6 ft, ground, immediate forklift access)</t>
        </is>
      </c>
      <c r="B16" s="284" t="n"/>
      <c r="C16" s="284" t="n"/>
      <c r="D16" s="284" t="n"/>
      <c r="E16" s="284" t="n"/>
      <c r="F16" s="284" t="n"/>
      <c r="G16" s="284" t="n"/>
      <c r="H16" s="284" t="n"/>
      <c r="I16" s="265" t="inlineStr">
        <is>
          <t xml:space="preserve">  Level B — HIGH (~6–12 ft, second level, fast access)</t>
        </is>
      </c>
      <c r="J16" s="284" t="n"/>
      <c r="K16" s="284" t="n"/>
      <c r="L16" s="284" t="n"/>
      <c r="M16" s="284" t="n"/>
      <c r="N16" s="284" t="n"/>
      <c r="O16" s="284" t="n"/>
      <c r="P16" s="284" t="n"/>
      <c r="Q16" s="266" t="inlineStr">
        <is>
          <t xml:space="preserve">  Level C — MEDIUM (~12–18 ft, moderate reach)</t>
        </is>
      </c>
      <c r="R16" s="284" t="n"/>
      <c r="S16" s="284" t="n"/>
      <c r="T16" s="284" t="n"/>
      <c r="U16" s="284" t="n"/>
      <c r="V16" s="284" t="n"/>
      <c r="W16" s="284" t="n"/>
      <c r="X16" s="284" t="n"/>
      <c r="Y16" s="267" t="inlineStr">
        <is>
          <t xml:space="preserve">  Level D — UPPER (~18–24 ft, slowest access)</t>
        </is>
      </c>
      <c r="Z16" s="284" t="n"/>
      <c r="AA16" s="284" t="n"/>
      <c r="AB16" s="284" t="n"/>
      <c r="AC16" s="284" t="n"/>
      <c r="AD16" s="284" t="n"/>
      <c r="AE16" s="284" t="n"/>
      <c r="AF16" s="284" t="n"/>
    </row>
    <row r="17" ht="3.75" customHeight="1"/>
    <row r="18" ht="19.5" customHeight="1">
      <c r="A18" s="159" t="inlineStr">
        <is>
          <t>LEVEL</t>
        </is>
      </c>
      <c r="B18" s="268" t="inlineStr">
        <is>
          <t>Col 1</t>
        </is>
      </c>
      <c r="C18" s="284" t="n"/>
      <c r="D18" s="270" t="inlineStr">
        <is>
          <t>Col 2</t>
        </is>
      </c>
      <c r="E18" s="284" t="n"/>
      <c r="F18" s="268" t="inlineStr">
        <is>
          <t>Col 3</t>
        </is>
      </c>
      <c r="G18" s="284" t="n"/>
      <c r="H18" s="270" t="inlineStr">
        <is>
          <t>Col 4</t>
        </is>
      </c>
      <c r="I18" s="284" t="n"/>
      <c r="J18" s="268" t="inlineStr">
        <is>
          <t>Col 5</t>
        </is>
      </c>
      <c r="K18" s="284" t="n"/>
      <c r="L18" s="270" t="inlineStr">
        <is>
          <t>Col 6</t>
        </is>
      </c>
      <c r="M18" s="284" t="n"/>
      <c r="N18" s="268" t="inlineStr">
        <is>
          <t>Col 7</t>
        </is>
      </c>
      <c r="O18" s="284" t="n"/>
      <c r="P18" s="270" t="inlineStr">
        <is>
          <t>Col 8</t>
        </is>
      </c>
      <c r="Q18" s="284" t="n"/>
      <c r="R18" s="268" t="inlineStr">
        <is>
          <t>Col 9</t>
        </is>
      </c>
      <c r="S18" s="284" t="n"/>
      <c r="T18" s="270" t="inlineStr">
        <is>
          <t>Col 10</t>
        </is>
      </c>
      <c r="U18" s="284" t="n"/>
      <c r="V18" s="268" t="inlineStr">
        <is>
          <t>Col 11</t>
        </is>
      </c>
      <c r="W18" s="284" t="n"/>
      <c r="X18" s="270" t="inlineStr">
        <is>
          <t>Col 12</t>
        </is>
      </c>
      <c r="Y18" s="284" t="n"/>
      <c r="Z18" s="268" t="inlineStr">
        <is>
          <t>Col 13</t>
        </is>
      </c>
      <c r="AA18" s="284" t="n"/>
      <c r="AB18" s="270" t="inlineStr">
        <is>
          <t>Col 14</t>
        </is>
      </c>
      <c r="AC18" s="284" t="n"/>
      <c r="AD18" s="268" t="inlineStr">
        <is>
          <t>Col 15</t>
        </is>
      </c>
      <c r="AE18" s="284" t="n"/>
      <c r="AF18" s="270" t="inlineStr">
        <is>
          <t>Col 16</t>
        </is>
      </c>
      <c r="AG18" s="284" t="n"/>
    </row>
    <row r="19" ht="15.75" customHeight="1">
      <c r="A19" s="52" t="n"/>
      <c r="B19" s="160" t="inlineStr">
        <is>
          <t>Pallet 1</t>
        </is>
      </c>
      <c r="C19" s="160" t="inlineStr">
        <is>
          <t>Pallet 2</t>
        </is>
      </c>
      <c r="D19" s="160" t="inlineStr">
        <is>
          <t>Pallet 1</t>
        </is>
      </c>
      <c r="E19" s="160" t="inlineStr">
        <is>
          <t>Pallet 2</t>
        </is>
      </c>
      <c r="F19" s="160" t="inlineStr">
        <is>
          <t>Pallet 1</t>
        </is>
      </c>
      <c r="G19" s="160" t="inlineStr">
        <is>
          <t>Pallet 2</t>
        </is>
      </c>
      <c r="H19" s="160" t="inlineStr">
        <is>
          <t>Pallet 1</t>
        </is>
      </c>
      <c r="I19" s="160" t="inlineStr">
        <is>
          <t>Pallet 2</t>
        </is>
      </c>
      <c r="J19" s="160" t="inlineStr">
        <is>
          <t>Pallet 1</t>
        </is>
      </c>
      <c r="K19" s="160" t="inlineStr">
        <is>
          <t>Pallet 2</t>
        </is>
      </c>
      <c r="L19" s="160" t="inlineStr">
        <is>
          <t>Pallet 1</t>
        </is>
      </c>
      <c r="M19" s="160" t="inlineStr">
        <is>
          <t>Pallet 2</t>
        </is>
      </c>
      <c r="N19" s="160" t="inlineStr">
        <is>
          <t>Pallet 1</t>
        </is>
      </c>
      <c r="O19" s="160" t="inlineStr">
        <is>
          <t>Pallet 2</t>
        </is>
      </c>
      <c r="P19" s="160" t="inlineStr">
        <is>
          <t>Pallet 1</t>
        </is>
      </c>
      <c r="Q19" s="160" t="inlineStr">
        <is>
          <t>Pallet 2</t>
        </is>
      </c>
      <c r="R19" s="160" t="inlineStr">
        <is>
          <t>Pallet 1</t>
        </is>
      </c>
      <c r="S19" s="160" t="inlineStr">
        <is>
          <t>Pallet 2</t>
        </is>
      </c>
      <c r="T19" s="160" t="inlineStr">
        <is>
          <t>Pallet 1</t>
        </is>
      </c>
      <c r="U19" s="160" t="inlineStr">
        <is>
          <t>Pallet 2</t>
        </is>
      </c>
      <c r="V19" s="160" t="inlineStr">
        <is>
          <t>Pallet 1</t>
        </is>
      </c>
      <c r="W19" s="160" t="inlineStr">
        <is>
          <t>Pallet 2</t>
        </is>
      </c>
      <c r="X19" s="160" t="inlineStr">
        <is>
          <t>Pallet 1</t>
        </is>
      </c>
      <c r="Y19" s="160" t="inlineStr">
        <is>
          <t>Pallet 2</t>
        </is>
      </c>
      <c r="Z19" s="160" t="inlineStr">
        <is>
          <t>Pallet 1</t>
        </is>
      </c>
      <c r="AA19" s="160" t="inlineStr">
        <is>
          <t>Pallet 2</t>
        </is>
      </c>
      <c r="AB19" s="160" t="inlineStr">
        <is>
          <t>Pallet 1</t>
        </is>
      </c>
      <c r="AC19" s="160" t="inlineStr">
        <is>
          <t>Pallet 2</t>
        </is>
      </c>
      <c r="AD19" s="160" t="inlineStr">
        <is>
          <t>Pallet 1</t>
        </is>
      </c>
      <c r="AE19" s="160" t="inlineStr">
        <is>
          <t>Pallet 2</t>
        </is>
      </c>
      <c r="AF19" s="160" t="inlineStr">
        <is>
          <t>Pallet 1</t>
        </is>
      </c>
      <c r="AG19" s="160" t="inlineStr">
        <is>
          <t>Pallet 2</t>
        </is>
      </c>
    </row>
    <row r="20" ht="48" customHeight="1">
      <c r="A20" s="161" t="inlineStr">
        <is>
          <t>Level A
(~0–6ft)</t>
        </is>
      </c>
      <c r="B20" s="162" t="inlineStr">
        <is>
          <t>[TAR]
62106
GG Org Coconut Palm 6ct</t>
        </is>
      </c>
      <c r="C20" s="162" t="inlineStr">
        <is>
          <t>[TAR]
62106
GG Org Coconut Palm 6ct</t>
        </is>
      </c>
      <c r="D20" s="162" t="inlineStr">
        <is>
          <t>[TAR]
62231
GG Org Light Agave 6ct</t>
        </is>
      </c>
      <c r="E20" s="162" t="inlineStr">
        <is>
          <t>[TAR]
62231
GG Org Light Agave 6ct</t>
        </is>
      </c>
      <c r="F20" s="162" t="inlineStr">
        <is>
          <t>[TAR]
62432
GG Org Sugar 6ct-4lb</t>
        </is>
      </c>
      <c r="G20" s="162" t="inlineStr">
        <is>
          <t>[TAR]
62432
GG Org Sugar 6ct-4lb</t>
        </is>
      </c>
      <c r="H20" s="162" t="inlineStr">
        <is>
          <t>[TAR]
62232
GG Org Raw Agave 6ct</t>
        </is>
      </c>
      <c r="I20" s="162" t="inlineStr">
        <is>
          <t>[TAR]
62232
GG Org Raw Agave 6ct</t>
        </is>
      </c>
      <c r="J20" s="167" t="inlineStr">
        <is>
          <t>[AMA]
94675
Org Stevia 6ct 75-1g</t>
        </is>
      </c>
      <c r="K20" s="167" t="inlineStr">
        <is>
          <t>[AMA]
94675
Org Stevia 6ct 75-1g</t>
        </is>
      </c>
      <c r="L20" s="167" t="inlineStr">
        <is>
          <t>[AMA]
92106
Org Coconut Palm 6ct-1lb</t>
        </is>
      </c>
      <c r="M20" s="167" t="inlineStr">
        <is>
          <t>[AMA]
92106
Org Coconut Palm 6ct-1lb</t>
        </is>
      </c>
      <c r="N20" s="167" t="inlineStr">
        <is>
          <t>[AMA]
20441
Blue Agave 6-44oz</t>
        </is>
      </c>
      <c r="O20" s="167" t="inlineStr">
        <is>
          <t>[AMA]
20441
Blue Agave 6-44oz</t>
        </is>
      </c>
      <c r="P20" s="167" t="inlineStr">
        <is>
          <t>[AMA]
45026
FT Org Sucanat 12ct-2lb</t>
        </is>
      </c>
      <c r="Q20" s="167" t="inlineStr">
        <is>
          <t>[AMA]
45026
FT Org Sucanat 12ct-2lb</t>
        </is>
      </c>
      <c r="R20" s="163" t="inlineStr">
        <is>
          <t>—</t>
        </is>
      </c>
      <c r="S20" s="163" t="inlineStr">
        <is>
          <t>—</t>
        </is>
      </c>
      <c r="T20" s="163" t="inlineStr">
        <is>
          <t>—</t>
        </is>
      </c>
      <c r="U20" s="163" t="inlineStr">
        <is>
          <t>—</t>
        </is>
      </c>
      <c r="V20" s="163" t="inlineStr">
        <is>
          <t>—</t>
        </is>
      </c>
      <c r="W20" s="163" t="inlineStr">
        <is>
          <t>—</t>
        </is>
      </c>
      <c r="X20" s="163" t="inlineStr">
        <is>
          <t>—</t>
        </is>
      </c>
      <c r="Y20" s="163" t="inlineStr">
        <is>
          <t>—</t>
        </is>
      </c>
      <c r="Z20" s="163" t="inlineStr">
        <is>
          <t>—</t>
        </is>
      </c>
      <c r="AA20" s="163" t="inlineStr">
        <is>
          <t>—</t>
        </is>
      </c>
      <c r="AB20" s="163" t="inlineStr">
        <is>
          <t>—</t>
        </is>
      </c>
      <c r="AC20" s="163" t="inlineStr">
        <is>
          <t>—</t>
        </is>
      </c>
      <c r="AD20" s="163" t="inlineStr">
        <is>
          <t>—</t>
        </is>
      </c>
      <c r="AE20" s="163" t="inlineStr">
        <is>
          <t>—</t>
        </is>
      </c>
      <c r="AF20" s="163" t="inlineStr">
        <is>
          <t>—</t>
        </is>
      </c>
      <c r="AG20" s="163" t="inlineStr">
        <is>
          <t>—</t>
        </is>
      </c>
    </row>
    <row r="21" ht="48" customHeight="1">
      <c r="A21" s="164" t="inlineStr">
        <is>
          <t>Level B
(~6–12ft)</t>
        </is>
      </c>
      <c r="B21" s="163" t="inlineStr">
        <is>
          <t>—</t>
        </is>
      </c>
      <c r="C21" s="163" t="inlineStr">
        <is>
          <t>—</t>
        </is>
      </c>
      <c r="D21" s="163" t="inlineStr">
        <is>
          <t>—</t>
        </is>
      </c>
      <c r="E21" s="163" t="inlineStr">
        <is>
          <t>—</t>
        </is>
      </c>
      <c r="F21" s="163" t="inlineStr">
        <is>
          <t>—</t>
        </is>
      </c>
      <c r="G21" s="163" t="inlineStr">
        <is>
          <t>—</t>
        </is>
      </c>
      <c r="H21" s="163" t="inlineStr">
        <is>
          <t>—</t>
        </is>
      </c>
      <c r="I21" s="163" t="inlineStr">
        <is>
          <t>—</t>
        </is>
      </c>
      <c r="J21" s="163" t="inlineStr">
        <is>
          <t>—</t>
        </is>
      </c>
      <c r="K21" s="163" t="inlineStr">
        <is>
          <t>—</t>
        </is>
      </c>
      <c r="L21" s="163" t="inlineStr">
        <is>
          <t>—</t>
        </is>
      </c>
      <c r="M21" s="163" t="inlineStr">
        <is>
          <t>—</t>
        </is>
      </c>
      <c r="N21" s="163" t="inlineStr">
        <is>
          <t>—</t>
        </is>
      </c>
      <c r="O21" s="163" t="inlineStr">
        <is>
          <t>—</t>
        </is>
      </c>
      <c r="P21" s="163" t="inlineStr">
        <is>
          <t>—</t>
        </is>
      </c>
      <c r="Q21" s="163" t="inlineStr">
        <is>
          <t>—</t>
        </is>
      </c>
      <c r="R21" s="167" t="inlineStr">
        <is>
          <t>[AMA]
32134
Lt Brown Muscovado 10-1lb</t>
        </is>
      </c>
      <c r="S21" s="167" t="inlineStr">
        <is>
          <t>[AMA]
32134
Lt Brown Muscovado 10-1lb</t>
        </is>
      </c>
      <c r="T21" s="167" t="inlineStr">
        <is>
          <t>[AMA]
45036
Org Sugar 6ct-2lb</t>
        </is>
      </c>
      <c r="U21" s="167" t="inlineStr">
        <is>
          <t>[AMA]
45036
Org Sugar 6ct-2lb</t>
        </is>
      </c>
      <c r="V21" s="167" t="inlineStr">
        <is>
          <t>[AMA]
32139
Nat Demerara 10-1lb</t>
        </is>
      </c>
      <c r="W21" s="167" t="inlineStr">
        <is>
          <t>[AMA]
32139
Nat Demerara 10-1lb</t>
        </is>
      </c>
      <c r="X21" s="167" t="inlineStr">
        <is>
          <t>[AMA]
20231
Org Blue Agave 6-23.5oz</t>
        </is>
      </c>
      <c r="Y21" s="167" t="inlineStr">
        <is>
          <t>[AMA]
20231
Org Blue Agave 6-23.5oz</t>
        </is>
      </c>
      <c r="Z21" s="167" t="inlineStr">
        <is>
          <t>[AMA]
45641
Regen Lt Brown Sugar 6ct</t>
        </is>
      </c>
      <c r="AA21" s="167" t="inlineStr">
        <is>
          <t>[AMA]
45641
Regen Lt Brown Sugar 6ct</t>
        </is>
      </c>
      <c r="AB21" s="167" t="inlineStr">
        <is>
          <t>[AMA]
94660
Org Stevia 6x6oz Jar</t>
        </is>
      </c>
      <c r="AC21" s="167" t="inlineStr">
        <is>
          <t>[AMA]
94660
Org Stevia 6x6oz Jar</t>
        </is>
      </c>
      <c r="AD21" s="167" t="inlineStr">
        <is>
          <t>[AMA]
32137
Dk Brn Molasses 10-1lb</t>
        </is>
      </c>
      <c r="AE21" s="167" t="inlineStr">
        <is>
          <t>[AMA]
32137
Dk Brn Molasses 10-1lb</t>
        </is>
      </c>
      <c r="AF21" s="167" t="inlineStr">
        <is>
          <t>[AMA]
89416
FT Raw Honey 6-16oz Sqz</t>
        </is>
      </c>
      <c r="AG21" s="167" t="inlineStr">
        <is>
          <t>[AMA]
89416
FT Raw Honey 6-16oz Sqz</t>
        </is>
      </c>
    </row>
    <row r="22" ht="48" customHeight="1">
      <c r="A22" s="165" t="inlineStr">
        <is>
          <t>Level C
(~12–18ft)</t>
        </is>
      </c>
      <c r="B22" s="167" t="inlineStr">
        <is>
          <t>[AMA]
21442
Org Raw Agave 6-44oz</t>
        </is>
      </c>
      <c r="C22" s="167" t="inlineStr">
        <is>
          <t>[AMA]
21442
Org Raw Agave 6-44oz</t>
        </is>
      </c>
      <c r="D22" s="167" t="inlineStr">
        <is>
          <t>[AMA]
44471
FT Org Raw Turb 12-1.5lb</t>
        </is>
      </c>
      <c r="E22" s="167" t="inlineStr">
        <is>
          <t>[AMA]
44471
FT Org Raw Turb 12-1.5lb</t>
        </is>
      </c>
      <c r="F22" s="167" t="inlineStr">
        <is>
          <t>[AMA]
30010
Org Corn Syrup 6-11.75oz</t>
        </is>
      </c>
      <c r="G22" s="167" t="inlineStr">
        <is>
          <t>[AMA]
30010
Org Corn Syrup 6-11.75oz</t>
        </is>
      </c>
      <c r="H22" s="167" t="inlineStr">
        <is>
          <t>[AMA]
89167
FT Org Honey 6-16oz Sqz</t>
        </is>
      </c>
      <c r="I22" s="167" t="inlineStr">
        <is>
          <t>[AMA]
89167
FT Org Honey 6-16oz Sqz</t>
        </is>
      </c>
      <c r="J22" s="167" t="inlineStr">
        <is>
          <t>[AMA]
89247
FT Org Honey 6-24oz Sqz</t>
        </is>
      </c>
      <c r="K22" s="167" t="inlineStr">
        <is>
          <t>[AMA]
89247
FT Org Honey 6-24oz Sqz</t>
        </is>
      </c>
      <c r="L22" s="167" t="inlineStr">
        <is>
          <t>[AMA]
89168
Org White Honey 16oz</t>
        </is>
      </c>
      <c r="M22" s="167" t="inlineStr">
        <is>
          <t>[AMA]
89168
Org White Honey 16oz</t>
        </is>
      </c>
      <c r="N22" s="163" t="inlineStr">
        <is>
          <t>—</t>
        </is>
      </c>
      <c r="O22" s="163" t="inlineStr">
        <is>
          <t>—</t>
        </is>
      </c>
      <c r="P22" s="163" t="inlineStr">
        <is>
          <t>—</t>
        </is>
      </c>
      <c r="Q22" s="163" t="inlineStr">
        <is>
          <t>—</t>
        </is>
      </c>
      <c r="R22" s="163" t="inlineStr">
        <is>
          <t>—</t>
        </is>
      </c>
      <c r="S22" s="163" t="inlineStr">
        <is>
          <t>—</t>
        </is>
      </c>
      <c r="T22" s="163" t="inlineStr">
        <is>
          <t>—</t>
        </is>
      </c>
      <c r="U22" s="163" t="inlineStr">
        <is>
          <t>—</t>
        </is>
      </c>
      <c r="V22" s="163" t="inlineStr">
        <is>
          <t>—</t>
        </is>
      </c>
      <c r="W22" s="163" t="inlineStr">
        <is>
          <t>—</t>
        </is>
      </c>
      <c r="X22" s="163" t="inlineStr">
        <is>
          <t>—</t>
        </is>
      </c>
      <c r="Y22" s="163" t="inlineStr">
        <is>
          <t>—</t>
        </is>
      </c>
      <c r="Z22" s="163" t="inlineStr">
        <is>
          <t>—</t>
        </is>
      </c>
      <c r="AA22" s="163" t="inlineStr">
        <is>
          <t>—</t>
        </is>
      </c>
      <c r="AB22" s="163" t="inlineStr">
        <is>
          <t>—</t>
        </is>
      </c>
      <c r="AC22" s="163" t="inlineStr">
        <is>
          <t>—</t>
        </is>
      </c>
      <c r="AD22" s="163" t="inlineStr">
        <is>
          <t>—</t>
        </is>
      </c>
      <c r="AE22" s="163" t="inlineStr">
        <is>
          <t>—</t>
        </is>
      </c>
      <c r="AF22" s="163" t="inlineStr">
        <is>
          <t>—</t>
        </is>
      </c>
      <c r="AG22" s="163" t="inlineStr">
        <is>
          <t>—</t>
        </is>
      </c>
    </row>
    <row r="23" ht="48" customHeight="1">
      <c r="A23" s="166" t="inlineStr">
        <is>
          <t>Level D
(~18–24ft)</t>
        </is>
      </c>
      <c r="B23" s="163" t="inlineStr">
        <is>
          <t>—</t>
        </is>
      </c>
      <c r="C23" s="163" t="inlineStr">
        <is>
          <t>—</t>
        </is>
      </c>
      <c r="D23" s="163" t="inlineStr">
        <is>
          <t>—</t>
        </is>
      </c>
      <c r="E23" s="163" t="inlineStr">
        <is>
          <t>—</t>
        </is>
      </c>
      <c r="F23" s="163" t="inlineStr">
        <is>
          <t>—</t>
        </is>
      </c>
      <c r="G23" s="163" t="inlineStr">
        <is>
          <t>—</t>
        </is>
      </c>
      <c r="H23" s="163" t="inlineStr">
        <is>
          <t>—</t>
        </is>
      </c>
      <c r="I23" s="163" t="inlineStr">
        <is>
          <t>—</t>
        </is>
      </c>
      <c r="J23" s="163" t="inlineStr">
        <is>
          <t>—</t>
        </is>
      </c>
      <c r="K23" s="163" t="inlineStr">
        <is>
          <t>—</t>
        </is>
      </c>
      <c r="L23" s="163" t="inlineStr">
        <is>
          <t>—</t>
        </is>
      </c>
      <c r="M23" s="163" t="inlineStr">
        <is>
          <t>—</t>
        </is>
      </c>
      <c r="N23" s="163" t="inlineStr">
        <is>
          <t>—</t>
        </is>
      </c>
      <c r="O23" s="163" t="inlineStr">
        <is>
          <t>—</t>
        </is>
      </c>
      <c r="P23" s="163" t="inlineStr">
        <is>
          <t>—</t>
        </is>
      </c>
      <c r="Q23" s="163" t="inlineStr">
        <is>
          <t>—</t>
        </is>
      </c>
      <c r="R23" s="163" t="inlineStr">
        <is>
          <t>—</t>
        </is>
      </c>
      <c r="S23" s="163" t="inlineStr">
        <is>
          <t>—</t>
        </is>
      </c>
      <c r="T23" s="163" t="inlineStr">
        <is>
          <t>—</t>
        </is>
      </c>
      <c r="U23" s="163" t="inlineStr">
        <is>
          <t>—</t>
        </is>
      </c>
      <c r="V23" s="163" t="inlineStr">
        <is>
          <t>—</t>
        </is>
      </c>
      <c r="W23" s="163" t="inlineStr">
        <is>
          <t>—</t>
        </is>
      </c>
      <c r="X23" s="163" t="inlineStr">
        <is>
          <t>—</t>
        </is>
      </c>
      <c r="Y23" s="163" t="inlineStr">
        <is>
          <t>—</t>
        </is>
      </c>
      <c r="Z23" s="163" t="inlineStr">
        <is>
          <t>—</t>
        </is>
      </c>
      <c r="AA23" s="163" t="inlineStr">
        <is>
          <t>—</t>
        </is>
      </c>
      <c r="AB23" s="163" t="inlineStr">
        <is>
          <t>—</t>
        </is>
      </c>
      <c r="AC23" s="163" t="inlineStr">
        <is>
          <t>—</t>
        </is>
      </c>
      <c r="AD23" s="163" t="inlineStr">
        <is>
          <t>—</t>
        </is>
      </c>
      <c r="AE23" s="163" t="inlineStr">
        <is>
          <t>—</t>
        </is>
      </c>
      <c r="AF23" s="163" t="inlineStr">
        <is>
          <t>—</t>
        </is>
      </c>
      <c r="AG23" s="163" t="inlineStr">
        <is>
          <t>—</t>
        </is>
      </c>
    </row>
    <row r="24" ht="19.5" customHeight="1">
      <c r="A24" s="269" t="inlineStr">
        <is>
          <t>Rack 31 | 16 columns × 4 levels × 2 pallets = 128 total pallet spaces  |  Design C: C-class all customers  |  SKUs assigned: 22 cells  |  Available: 42 cells</t>
        </is>
      </c>
    </row>
  </sheetData>
  <mergeCells count="46">
    <mergeCell ref="AF18:AG18"/>
    <mergeCell ref="L7:M7"/>
    <mergeCell ref="B7:C7"/>
    <mergeCell ref="Q16:X16"/>
    <mergeCell ref="N7:O7"/>
    <mergeCell ref="B18:C18"/>
    <mergeCell ref="A15:AI15"/>
    <mergeCell ref="F7:G7"/>
    <mergeCell ref="X7:Y7"/>
    <mergeCell ref="Z7:AA7"/>
    <mergeCell ref="R7:S7"/>
    <mergeCell ref="A16:H16"/>
    <mergeCell ref="A1:AI1"/>
    <mergeCell ref="F18:G18"/>
    <mergeCell ref="L18:M18"/>
    <mergeCell ref="I16:P16"/>
    <mergeCell ref="Y5:AF5"/>
    <mergeCell ref="N18:O18"/>
    <mergeCell ref="Q5:X5"/>
    <mergeCell ref="T18:U18"/>
    <mergeCell ref="X18:Y18"/>
    <mergeCell ref="Z18:AA18"/>
    <mergeCell ref="D7:E7"/>
    <mergeCell ref="P7:Q7"/>
    <mergeCell ref="Y16:AF16"/>
    <mergeCell ref="H7:I7"/>
    <mergeCell ref="J7:K7"/>
    <mergeCell ref="D18:E18"/>
    <mergeCell ref="A5:H5"/>
    <mergeCell ref="I5:P5"/>
    <mergeCell ref="A13:AG13"/>
    <mergeCell ref="P18:Q18"/>
    <mergeCell ref="V7:W7"/>
    <mergeCell ref="AB7:AC7"/>
    <mergeCell ref="A2:AI2"/>
    <mergeCell ref="AD7:AE7"/>
    <mergeCell ref="T7:U7"/>
    <mergeCell ref="AF7:AG7"/>
    <mergeCell ref="H18:I18"/>
    <mergeCell ref="A24:AG24"/>
    <mergeCell ref="J18:K18"/>
    <mergeCell ref="R18:S18"/>
    <mergeCell ref="A4:AI4"/>
    <mergeCell ref="V18:W18"/>
    <mergeCell ref="AB18:AC18"/>
    <mergeCell ref="AD18:AE18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32" zoomScaleNormal="100" workbookViewId="0">
      <selection activeCell="H49" sqref="H49"/>
    </sheetView>
  </sheetViews>
  <sheetFormatPr baseColWidth="8" defaultColWidth="8.5703125" defaultRowHeight="14.45"/>
  <cols>
    <col width="6" customWidth="1" min="1" max="1"/>
    <col width="9" customWidth="1" min="2" max="2"/>
    <col width="26" customWidth="1" min="3" max="3"/>
    <col width="7" customWidth="1" min="4" max="4"/>
    <col width="10" customWidth="1" min="5" max="5"/>
    <col width="8" customWidth="1" min="6" max="6"/>
    <col width="11" customWidth="1" min="7" max="7"/>
    <col width="12" customWidth="1" min="8" max="8"/>
    <col width="10" customWidth="1" min="9" max="9"/>
    <col width="7" customWidth="1" min="10" max="10"/>
    <col width="9" customWidth="1" min="11" max="11"/>
    <col width="8" customWidth="1" min="12" max="12"/>
    <col width="18" customWidth="1" min="13" max="13"/>
    <col width="32" customWidth="1" min="14" max="14"/>
  </cols>
  <sheetData>
    <row r="1" ht="33.75" customHeight="1">
      <c r="A1" s="210" t="inlineStr">
        <is>
          <t>DESIGN C  SKU Assignment Tables  |  Velocity-Tiered Layout</t>
        </is>
      </c>
    </row>
    <row r="2" ht="15.75" customHeight="1">
      <c r="A2" s="211" t="inlineStr">
        <is>
          <t>Rack 30 cols 1–7: ALL A-class SKUs (Target + Amazon) | Cols 9–21: ALL B-class | Rack 31: ALL C-class</t>
        </is>
      </c>
    </row>
    <row r="3" ht="21.75" customHeight="1">
      <c r="A3" s="212" t="inlineStr">
        <is>
          <t>TARGET SKUs — Design C</t>
        </is>
      </c>
    </row>
    <row r="4" ht="27.75" customHeight="1">
      <c r="A4" s="168" t="inlineStr">
        <is>
          <t>Rank</t>
        </is>
      </c>
      <c r="B4" s="168" t="inlineStr">
        <is>
          <t>Item #</t>
        </is>
      </c>
      <c r="C4" s="168" t="inlineStr">
        <is>
          <t>Short Description</t>
        </is>
      </c>
      <c r="D4" s="168" t="inlineStr">
        <is>
          <t>ABC</t>
        </is>
      </c>
      <c r="E4" s="168" t="inlineStr">
        <is>
          <t>Total
Cases</t>
        </is>
      </c>
      <c r="F4" s="168" t="inlineStr">
        <is>
          <t># Orders</t>
        </is>
      </c>
      <c r="G4" s="168" t="inlineStr">
        <is>
          <t>Avg Cases
/ Order</t>
        </is>
      </c>
      <c r="H4" s="168" t="inlineStr">
        <is>
          <t>Full Pallet
Cap</t>
        </is>
      </c>
      <c r="I4" s="168" t="inlineStr">
        <is>
          <t>Pallets
/ Batch</t>
        </is>
      </c>
      <c r="J4" s="168" t="inlineStr">
        <is>
          <t>Rack</t>
        </is>
      </c>
      <c r="K4" s="168" t="inlineStr">
        <is>
          <t>Column</t>
        </is>
      </c>
      <c r="L4" s="168" t="inlineStr">
        <is>
          <t>Level</t>
        </is>
      </c>
      <c r="M4" s="168" t="inlineStr">
        <is>
          <t>Cell Address</t>
        </is>
      </c>
      <c r="N4" s="168" t="inlineStr">
        <is>
          <t>Rationale</t>
        </is>
      </c>
    </row>
    <row r="5" ht="19.5" customHeight="1">
      <c r="A5" s="169" t="n">
        <v>1</v>
      </c>
      <c r="B5" s="170" t="inlineStr">
        <is>
          <t>62632</t>
        </is>
      </c>
      <c r="C5" s="171" t="inlineStr">
        <is>
          <t>GG Org Sugar 6ct-2lb</t>
        </is>
      </c>
      <c r="D5" s="172" t="inlineStr">
        <is>
          <t>A</t>
        </is>
      </c>
      <c r="E5" s="173" t="n">
        <v>13157</v>
      </c>
      <c r="F5" s="174" t="n">
        <v>182</v>
      </c>
      <c r="G5" s="175" t="n">
        <v>72.3</v>
      </c>
      <c r="H5" s="174" t="n">
        <v>156</v>
      </c>
      <c r="I5" s="176" t="n">
        <v>9.4</v>
      </c>
      <c r="J5" s="170" t="n">
        <v>30</v>
      </c>
      <c r="K5" s="174" t="n">
        <v>1</v>
      </c>
      <c r="L5" s="188" t="inlineStr">
        <is>
          <t>B</t>
        </is>
      </c>
      <c r="M5" s="178" t="inlineStr">
        <is>
          <t>R30-C01-B</t>
        </is>
      </c>
      <c r="N5" s="179" t="inlineStr">
        <is>
          <t>Level 2 — fast access</t>
        </is>
      </c>
    </row>
    <row r="6" ht="19.5" customHeight="1">
      <c r="A6" s="180" t="n">
        <v>2</v>
      </c>
      <c r="B6" s="181" t="inlineStr">
        <is>
          <t>62641</t>
        </is>
      </c>
      <c r="C6" s="182" t="inlineStr">
        <is>
          <t>GG Org Lt Brown 6ct-1.5lb</t>
        </is>
      </c>
      <c r="D6" s="183" t="inlineStr">
        <is>
          <t>B</t>
        </is>
      </c>
      <c r="E6" s="184" t="n">
        <v>6454</v>
      </c>
      <c r="F6" s="185" t="n">
        <v>145</v>
      </c>
      <c r="G6" s="186" t="n">
        <v>44.5</v>
      </c>
      <c r="H6" s="185" t="n">
        <v>180</v>
      </c>
      <c r="I6" s="187" t="n">
        <v>3.98</v>
      </c>
      <c r="J6" s="181" t="inlineStr">
        <is>
          <t>—</t>
        </is>
      </c>
      <c r="K6" s="185" t="inlineStr">
        <is>
          <t>—</t>
        </is>
      </c>
      <c r="L6" s="185" t="inlineStr">
        <is>
          <t>—</t>
        </is>
      </c>
      <c r="M6" s="189" t="inlineStr">
        <is>
          <t>—</t>
        </is>
      </c>
      <c r="N6" s="190" t="inlineStr">
        <is>
          <t>—</t>
        </is>
      </c>
    </row>
    <row r="7" ht="19.5" customHeight="1">
      <c r="A7" s="169" t="n">
        <v>3</v>
      </c>
      <c r="B7" s="170" t="inlineStr">
        <is>
          <t>62004</t>
        </is>
      </c>
      <c r="C7" s="171" t="inlineStr">
        <is>
          <t>GG Org Pwd Sugar 6ct-1lb</t>
        </is>
      </c>
      <c r="D7" s="183" t="inlineStr">
        <is>
          <t>B</t>
        </is>
      </c>
      <c r="E7" s="173" t="n">
        <v>4891</v>
      </c>
      <c r="F7" s="174" t="n">
        <v>164</v>
      </c>
      <c r="G7" s="175" t="n">
        <v>29.8</v>
      </c>
      <c r="H7" s="174" t="n">
        <v>180</v>
      </c>
      <c r="I7" s="176" t="n">
        <v>3.02</v>
      </c>
      <c r="J7" s="170" t="inlineStr">
        <is>
          <t>—</t>
        </is>
      </c>
      <c r="K7" s="174" t="inlineStr">
        <is>
          <t>—</t>
        </is>
      </c>
      <c r="L7" s="174" t="inlineStr">
        <is>
          <t>—</t>
        </is>
      </c>
      <c r="M7" s="178" t="inlineStr">
        <is>
          <t>—</t>
        </is>
      </c>
      <c r="N7" s="179" t="inlineStr">
        <is>
          <t>—</t>
        </is>
      </c>
    </row>
    <row r="8" ht="19.5" customHeight="1">
      <c r="A8" s="180" t="n">
        <v>4</v>
      </c>
      <c r="B8" s="181" t="inlineStr">
        <is>
          <t>62106</t>
        </is>
      </c>
      <c r="C8" s="182" t="inlineStr">
        <is>
          <t>GG Org Coconut Palm 6ct</t>
        </is>
      </c>
      <c r="D8" s="191" t="inlineStr">
        <is>
          <t>C</t>
        </is>
      </c>
      <c r="E8" s="184" t="n">
        <v>3323</v>
      </c>
      <c r="F8" s="185" t="n">
        <v>189</v>
      </c>
      <c r="G8" s="186" t="n">
        <v>17.6</v>
      </c>
      <c r="H8" s="185" t="n">
        <v>192</v>
      </c>
      <c r="I8" s="187" t="n">
        <v>1.92</v>
      </c>
      <c r="J8" s="181" t="n">
        <v>30</v>
      </c>
      <c r="K8" s="185" t="n">
        <v>1</v>
      </c>
      <c r="L8" s="177" t="inlineStr">
        <is>
          <t>A</t>
        </is>
      </c>
      <c r="M8" s="189" t="inlineStr">
        <is>
          <t>R30-C01-A</t>
        </is>
      </c>
      <c r="N8" s="190" t="inlineStr">
        <is>
          <t>Ground — fastest forklift</t>
        </is>
      </c>
    </row>
    <row r="9" ht="19.5" customHeight="1">
      <c r="A9" s="169" t="n">
        <v>5</v>
      </c>
      <c r="B9" s="170" t="inlineStr">
        <is>
          <t>62231</t>
        </is>
      </c>
      <c r="C9" s="171" t="inlineStr">
        <is>
          <t>GG Org Light Agave 6ct</t>
        </is>
      </c>
      <c r="D9" s="191" t="inlineStr">
        <is>
          <t>C</t>
        </is>
      </c>
      <c r="E9" s="173" t="n">
        <v>3092</v>
      </c>
      <c r="F9" s="174" t="n">
        <v>194</v>
      </c>
      <c r="G9" s="175" t="n">
        <v>15.9</v>
      </c>
      <c r="H9" s="174" t="n">
        <v>180</v>
      </c>
      <c r="I9" s="176" t="n">
        <v>1.91</v>
      </c>
      <c r="J9" s="170" t="n">
        <v>30</v>
      </c>
      <c r="K9" s="174" t="n">
        <v>3</v>
      </c>
      <c r="L9" s="177" t="inlineStr">
        <is>
          <t>A</t>
        </is>
      </c>
      <c r="M9" s="178" t="inlineStr">
        <is>
          <t>R30-C03-A</t>
        </is>
      </c>
      <c r="N9" s="179" t="inlineStr">
        <is>
          <t>Ground — fastest forklift</t>
        </is>
      </c>
    </row>
    <row r="10" ht="19.5" customHeight="1">
      <c r="A10" s="180" t="n">
        <v>6</v>
      </c>
      <c r="B10" s="181" t="inlineStr">
        <is>
          <t>62432</t>
        </is>
      </c>
      <c r="C10" s="182" t="inlineStr">
        <is>
          <t>GG Org Sugar 6ct-4lb</t>
        </is>
      </c>
      <c r="D10" s="191" t="inlineStr">
        <is>
          <t>C</t>
        </is>
      </c>
      <c r="E10" s="184" t="n">
        <v>2511</v>
      </c>
      <c r="F10" s="185" t="n">
        <v>168</v>
      </c>
      <c r="G10" s="186" t="n">
        <v>14.9</v>
      </c>
      <c r="H10" s="185" t="n">
        <v>81</v>
      </c>
      <c r="I10" s="187" t="n">
        <v>3.44</v>
      </c>
      <c r="J10" s="181" t="n">
        <v>30</v>
      </c>
      <c r="K10" s="185" t="n">
        <v>5</v>
      </c>
      <c r="L10" s="177" t="inlineStr">
        <is>
          <t>A</t>
        </is>
      </c>
      <c r="M10" s="189" t="inlineStr">
        <is>
          <t>R30-C05-A</t>
        </is>
      </c>
      <c r="N10" s="190" t="inlineStr">
        <is>
          <t>Ground — fastest forklift</t>
        </is>
      </c>
    </row>
    <row r="11" ht="19.5" customHeight="1">
      <c r="A11" s="169" t="n">
        <v>7</v>
      </c>
      <c r="B11" s="170" t="inlineStr">
        <is>
          <t>62232</t>
        </is>
      </c>
      <c r="C11" s="171" t="inlineStr">
        <is>
          <t>GG Org Raw Agave 6ct</t>
        </is>
      </c>
      <c r="D11" s="191" t="inlineStr">
        <is>
          <t>C</t>
        </is>
      </c>
      <c r="E11" s="173" t="n">
        <v>1176</v>
      </c>
      <c r="F11" s="174" t="n">
        <v>179</v>
      </c>
      <c r="G11" s="175" t="n">
        <v>6.6</v>
      </c>
      <c r="H11" s="174" t="n">
        <v>180</v>
      </c>
      <c r="I11" s="176" t="n">
        <v>0.73</v>
      </c>
      <c r="J11" s="170" t="n">
        <v>30</v>
      </c>
      <c r="K11" s="174" t="n">
        <v>7</v>
      </c>
      <c r="L11" s="177" t="inlineStr">
        <is>
          <t>A</t>
        </is>
      </c>
      <c r="M11" s="178" t="inlineStr">
        <is>
          <t>R30-C07-A</t>
        </is>
      </c>
      <c r="N11" s="179" t="inlineStr">
        <is>
          <t>Ground — fastest forklift</t>
        </is>
      </c>
    </row>
    <row r="12" ht="12" customHeight="1"/>
    <row r="13" ht="21.75" customHeight="1">
      <c r="A13" s="213" t="inlineStr">
        <is>
          <t>AMAZON SKUs — Design C</t>
        </is>
      </c>
    </row>
    <row r="14" ht="27.75" customHeight="1">
      <c r="A14" s="192" t="inlineStr">
        <is>
          <t>Rank</t>
        </is>
      </c>
      <c r="B14" s="192" t="inlineStr">
        <is>
          <t>Item #</t>
        </is>
      </c>
      <c r="C14" s="192" t="inlineStr">
        <is>
          <t>Short Description</t>
        </is>
      </c>
      <c r="D14" s="192" t="inlineStr">
        <is>
          <t>ABC</t>
        </is>
      </c>
      <c r="E14" s="192" t="inlineStr">
        <is>
          <t>Total
Cases</t>
        </is>
      </c>
      <c r="F14" s="192" t="inlineStr">
        <is>
          <t># Orders</t>
        </is>
      </c>
      <c r="G14" s="192" t="inlineStr">
        <is>
          <t>Avg Cases
/ Order</t>
        </is>
      </c>
      <c r="H14" s="192" t="inlineStr">
        <is>
          <t>Full Pallet
Cap</t>
        </is>
      </c>
      <c r="I14" s="192" t="inlineStr">
        <is>
          <t>Pallets
/ Batch</t>
        </is>
      </c>
      <c r="J14" s="192" t="inlineStr">
        <is>
          <t>Rack</t>
        </is>
      </c>
      <c r="K14" s="192" t="inlineStr">
        <is>
          <t>Column</t>
        </is>
      </c>
      <c r="L14" s="192" t="inlineStr">
        <is>
          <t>Level</t>
        </is>
      </c>
      <c r="M14" s="192" t="inlineStr">
        <is>
          <t>Cell Address</t>
        </is>
      </c>
      <c r="N14" s="192" t="inlineStr">
        <is>
          <t>Rationale</t>
        </is>
      </c>
    </row>
    <row r="15" ht="19.5" customHeight="1">
      <c r="A15" s="193" t="n">
        <v>1</v>
      </c>
      <c r="B15" s="194" t="inlineStr">
        <is>
          <t>95612</t>
        </is>
      </c>
      <c r="C15" s="195" t="inlineStr">
        <is>
          <t>WS Allulose Liquid 6ct</t>
        </is>
      </c>
      <c r="D15" s="172" t="inlineStr">
        <is>
          <t>A</t>
        </is>
      </c>
      <c r="E15" s="196" t="n">
        <v>3796</v>
      </c>
      <c r="F15" s="197" t="n">
        <v>57</v>
      </c>
      <c r="G15" s="198" t="n">
        <v>66.59999999999999</v>
      </c>
      <c r="H15" s="197" t="n">
        <v>357</v>
      </c>
      <c r="I15" s="199" t="n">
        <v>1.33</v>
      </c>
      <c r="J15" s="194" t="n">
        <v>30</v>
      </c>
      <c r="K15" s="197" t="n">
        <v>3</v>
      </c>
      <c r="L15" s="188" t="inlineStr">
        <is>
          <t>B</t>
        </is>
      </c>
      <c r="M15" s="200" t="inlineStr">
        <is>
          <t>R30-C03-B</t>
        </is>
      </c>
      <c r="N15" s="201" t="inlineStr">
        <is>
          <t>Level 2 — fast access</t>
        </is>
      </c>
    </row>
    <row r="16" ht="19.5" customHeight="1">
      <c r="A16" s="180" t="n">
        <v>2</v>
      </c>
      <c r="B16" s="181" t="inlineStr">
        <is>
          <t>45022</t>
        </is>
      </c>
      <c r="C16" s="182" t="inlineStr">
        <is>
          <t>WS FT Molasses 12-32oz</t>
        </is>
      </c>
      <c r="D16" s="172" t="inlineStr">
        <is>
          <t>A</t>
        </is>
      </c>
      <c r="E16" s="184" t="n">
        <v>2586</v>
      </c>
      <c r="F16" s="185" t="n">
        <v>71</v>
      </c>
      <c r="G16" s="186" t="n">
        <v>36.4</v>
      </c>
      <c r="H16" s="185" t="n">
        <v>50</v>
      </c>
      <c r="I16" s="187" t="n">
        <v>6.47</v>
      </c>
      <c r="J16" s="181" t="n">
        <v>30</v>
      </c>
      <c r="K16" s="185" t="n">
        <v>5</v>
      </c>
      <c r="L16" s="188" t="inlineStr">
        <is>
          <t>B</t>
        </is>
      </c>
      <c r="M16" s="189" t="inlineStr">
        <is>
          <t>R30-C05-B</t>
        </is>
      </c>
      <c r="N16" s="190" t="inlineStr">
        <is>
          <t>Level 2 — fast access</t>
        </is>
      </c>
    </row>
    <row r="17" ht="19.5" customHeight="1">
      <c r="A17" s="193" t="n">
        <v>3</v>
      </c>
      <c r="B17" s="194" t="inlineStr">
        <is>
          <t>32004</t>
        </is>
      </c>
      <c r="C17" s="195" t="inlineStr">
        <is>
          <t>WSI Org ECJ PWD 6ct-1lb</t>
        </is>
      </c>
      <c r="D17" s="172" t="inlineStr">
        <is>
          <t>A</t>
        </is>
      </c>
      <c r="E17" s="196" t="n">
        <v>2400</v>
      </c>
      <c r="F17" s="197" t="n">
        <v>46</v>
      </c>
      <c r="G17" s="198" t="n">
        <v>52.2</v>
      </c>
      <c r="H17" s="197" t="n">
        <v>180</v>
      </c>
      <c r="I17" s="199" t="n">
        <v>1.67</v>
      </c>
      <c r="J17" s="194" t="n">
        <v>30</v>
      </c>
      <c r="K17" s="197" t="n">
        <v>7</v>
      </c>
      <c r="L17" s="188" t="inlineStr">
        <is>
          <t>B</t>
        </is>
      </c>
      <c r="M17" s="200" t="inlineStr">
        <is>
          <t>R30-C07-B</t>
        </is>
      </c>
      <c r="N17" s="201" t="inlineStr">
        <is>
          <t>Level 2 — fast access</t>
        </is>
      </c>
    </row>
    <row r="18" ht="19.5" customHeight="1">
      <c r="A18" s="180" t="n">
        <v>4</v>
      </c>
      <c r="B18" s="181" t="inlineStr">
        <is>
          <t>95812</t>
        </is>
      </c>
      <c r="C18" s="182" t="inlineStr">
        <is>
          <t>W Allulose 8ct-12oz</t>
        </is>
      </c>
      <c r="D18" s="183" t="inlineStr">
        <is>
          <t>B</t>
        </is>
      </c>
      <c r="E18" s="184" t="n">
        <v>1964</v>
      </c>
      <c r="F18" s="185" t="n">
        <v>55</v>
      </c>
      <c r="G18" s="186" t="n">
        <v>35.7</v>
      </c>
      <c r="H18" s="185" t="n">
        <v>187</v>
      </c>
      <c r="I18" s="187" t="n">
        <v>1.31</v>
      </c>
      <c r="J18" s="181" t="inlineStr">
        <is>
          <t>—</t>
        </is>
      </c>
      <c r="K18" s="185" t="inlineStr">
        <is>
          <t>—</t>
        </is>
      </c>
      <c r="L18" s="185" t="inlineStr">
        <is>
          <t>—</t>
        </is>
      </c>
      <c r="M18" s="189" t="inlineStr">
        <is>
          <t>—</t>
        </is>
      </c>
      <c r="N18" s="190" t="inlineStr">
        <is>
          <t>—</t>
        </is>
      </c>
    </row>
    <row r="19" ht="19.5" customHeight="1">
      <c r="A19" s="193" t="n">
        <v>5</v>
      </c>
      <c r="B19" s="194" t="inlineStr">
        <is>
          <t>46410</t>
        </is>
      </c>
      <c r="C19" s="195" t="inlineStr">
        <is>
          <t>WS FT Org Sugar 4-10lb</t>
        </is>
      </c>
      <c r="D19" s="183" t="inlineStr">
        <is>
          <t>B</t>
        </is>
      </c>
      <c r="E19" s="196" t="n">
        <v>1942</v>
      </c>
      <c r="F19" s="197" t="n">
        <v>45</v>
      </c>
      <c r="G19" s="198" t="n">
        <v>43.2</v>
      </c>
      <c r="H19" s="197" t="n">
        <v>54</v>
      </c>
      <c r="I19" s="199" t="n">
        <v>4.5</v>
      </c>
      <c r="J19" s="194" t="inlineStr">
        <is>
          <t>—</t>
        </is>
      </c>
      <c r="K19" s="197" t="inlineStr">
        <is>
          <t>—</t>
        </is>
      </c>
      <c r="L19" s="197" t="inlineStr">
        <is>
          <t>—</t>
        </is>
      </c>
      <c r="M19" s="200" t="inlineStr">
        <is>
          <t>—</t>
        </is>
      </c>
      <c r="N19" s="201" t="inlineStr">
        <is>
          <t>—</t>
        </is>
      </c>
    </row>
    <row r="20" ht="19.5" customHeight="1">
      <c r="A20" s="180" t="n">
        <v>6</v>
      </c>
      <c r="B20" s="181" t="inlineStr">
        <is>
          <t>45021</t>
        </is>
      </c>
      <c r="C20" s="182" t="inlineStr">
        <is>
          <t>WS FT Molasses 12-16oz</t>
        </is>
      </c>
      <c r="D20" s="183" t="inlineStr">
        <is>
          <t>B</t>
        </is>
      </c>
      <c r="E20" s="184" t="n">
        <v>1898</v>
      </c>
      <c r="F20" s="185" t="n">
        <v>60</v>
      </c>
      <c r="G20" s="186" t="n">
        <v>31.6</v>
      </c>
      <c r="H20" s="185" t="n">
        <v>73</v>
      </c>
      <c r="I20" s="187" t="n">
        <v>3.25</v>
      </c>
      <c r="J20" s="181" t="n">
        <v>30</v>
      </c>
      <c r="K20" s="185" t="n">
        <v>17</v>
      </c>
      <c r="L20" s="177" t="inlineStr">
        <is>
          <t>A</t>
        </is>
      </c>
      <c r="M20" s="189" t="inlineStr">
        <is>
          <t>R30-C17-A</t>
        </is>
      </c>
      <c r="N20" s="190" t="inlineStr">
        <is>
          <t>Ground — fastest forklift</t>
        </is>
      </c>
    </row>
    <row r="21" ht="19.5" customHeight="1">
      <c r="A21" s="193" t="n">
        <v>7</v>
      </c>
      <c r="B21" s="194" t="inlineStr">
        <is>
          <t>44652</t>
        </is>
      </c>
      <c r="C21" s="195" t="inlineStr">
        <is>
          <t>FT Org Dk Brown 6ct-1.5lb</t>
        </is>
      </c>
      <c r="D21" s="183" t="inlineStr">
        <is>
          <t>B</t>
        </is>
      </c>
      <c r="E21" s="196" t="n">
        <v>750</v>
      </c>
      <c r="F21" s="197" t="n">
        <v>50</v>
      </c>
      <c r="G21" s="198" t="n">
        <v>15</v>
      </c>
      <c r="H21" s="197" t="n">
        <v>180</v>
      </c>
      <c r="I21" s="199" t="n">
        <v>0.52</v>
      </c>
      <c r="J21" s="194" t="n">
        <v>30</v>
      </c>
      <c r="K21" s="197" t="n">
        <v>19</v>
      </c>
      <c r="L21" s="177" t="inlineStr">
        <is>
          <t>A</t>
        </is>
      </c>
      <c r="M21" s="200" t="inlineStr">
        <is>
          <t>R30-C19-A</t>
        </is>
      </c>
      <c r="N21" s="201" t="inlineStr">
        <is>
          <t>Ground — fastest forklift</t>
        </is>
      </c>
    </row>
    <row r="22" ht="19.5" customHeight="1">
      <c r="A22" s="180" t="n">
        <v>8</v>
      </c>
      <c r="B22" s="181" t="inlineStr">
        <is>
          <t>94675</t>
        </is>
      </c>
      <c r="C22" s="182" t="inlineStr">
        <is>
          <t>Org Stevia 6ct 75-1g</t>
        </is>
      </c>
      <c r="D22" s="191" t="inlineStr">
        <is>
          <t>C</t>
        </is>
      </c>
      <c r="E22" s="184" t="n">
        <v>661</v>
      </c>
      <c r="F22" s="185" t="n">
        <v>52</v>
      </c>
      <c r="G22" s="186" t="n">
        <v>12.7</v>
      </c>
      <c r="H22" s="185" t="n">
        <v>198</v>
      </c>
      <c r="I22" s="187" t="n">
        <v>0.42</v>
      </c>
      <c r="J22" s="181" t="n">
        <v>30</v>
      </c>
      <c r="K22" s="185" t="n">
        <v>9</v>
      </c>
      <c r="L22" s="177" t="inlineStr">
        <is>
          <t>A</t>
        </is>
      </c>
      <c r="M22" s="189" t="inlineStr">
        <is>
          <t>R30-C09-A</t>
        </is>
      </c>
      <c r="N22" s="190" t="inlineStr">
        <is>
          <t>Ground — fastest forklift</t>
        </is>
      </c>
    </row>
    <row r="23" ht="19.5" customHeight="1">
      <c r="A23" s="193" t="n">
        <v>9</v>
      </c>
      <c r="B23" s="194" t="inlineStr">
        <is>
          <t>92106</t>
        </is>
      </c>
      <c r="C23" s="195" t="inlineStr">
        <is>
          <t>Org Coconut Palm 6ct-1lb</t>
        </is>
      </c>
      <c r="D23" s="191" t="inlineStr">
        <is>
          <t>C</t>
        </is>
      </c>
      <c r="E23" s="196" t="n">
        <v>473</v>
      </c>
      <c r="F23" s="197" t="n">
        <v>35</v>
      </c>
      <c r="G23" s="198" t="n">
        <v>13.5</v>
      </c>
      <c r="H23" s="197" t="n">
        <v>192</v>
      </c>
      <c r="I23" s="199" t="n">
        <v>0.31</v>
      </c>
      <c r="J23" s="194" t="n">
        <v>30</v>
      </c>
      <c r="K23" s="197" t="n">
        <v>11</v>
      </c>
      <c r="L23" s="177" t="inlineStr">
        <is>
          <t>A</t>
        </is>
      </c>
      <c r="M23" s="200" t="inlineStr">
        <is>
          <t>R30-C11-A</t>
        </is>
      </c>
      <c r="N23" s="201" t="inlineStr">
        <is>
          <t>Ground — fastest forklift</t>
        </is>
      </c>
    </row>
    <row r="24" ht="19.5" customHeight="1">
      <c r="A24" s="180" t="n">
        <v>10</v>
      </c>
      <c r="B24" s="181" t="inlineStr">
        <is>
          <t>20441</t>
        </is>
      </c>
      <c r="C24" s="182" t="inlineStr">
        <is>
          <t>Blue Agave 6-44oz</t>
        </is>
      </c>
      <c r="D24" s="191" t="inlineStr">
        <is>
          <t>C</t>
        </is>
      </c>
      <c r="E24" s="184" t="n">
        <v>412</v>
      </c>
      <c r="F24" s="185" t="n">
        <v>40</v>
      </c>
      <c r="G24" s="186" t="n">
        <v>10.3</v>
      </c>
      <c r="H24" s="185" t="n">
        <v>108</v>
      </c>
      <c r="I24" s="187" t="n">
        <v>0.48</v>
      </c>
      <c r="J24" s="181" t="n">
        <v>30</v>
      </c>
      <c r="K24" s="185" t="n">
        <v>13</v>
      </c>
      <c r="L24" s="177" t="inlineStr">
        <is>
          <t>A</t>
        </is>
      </c>
      <c r="M24" s="189" t="inlineStr">
        <is>
          <t>R30-C13-A</t>
        </is>
      </c>
      <c r="N24" s="190" t="inlineStr">
        <is>
          <t>Ground — fastest forklift</t>
        </is>
      </c>
    </row>
    <row r="25" ht="19.5" customHeight="1">
      <c r="A25" s="193" t="n">
        <v>11</v>
      </c>
      <c r="B25" s="194" t="inlineStr">
        <is>
          <t>45026</t>
        </is>
      </c>
      <c r="C25" s="195" t="inlineStr">
        <is>
          <t>FT Org Sucanat 12ct-2lb</t>
        </is>
      </c>
      <c r="D25" s="191" t="inlineStr">
        <is>
          <t>C</t>
        </is>
      </c>
      <c r="E25" s="196" t="n">
        <v>375</v>
      </c>
      <c r="F25" s="197" t="n">
        <v>44</v>
      </c>
      <c r="G25" s="198" t="n">
        <v>8.5</v>
      </c>
      <c r="H25" s="197" t="n">
        <v>46</v>
      </c>
      <c r="I25" s="199" t="n">
        <v>1.02</v>
      </c>
      <c r="J25" s="194" t="n">
        <v>30</v>
      </c>
      <c r="K25" s="197" t="n">
        <v>15</v>
      </c>
      <c r="L25" s="177" t="inlineStr">
        <is>
          <t>A</t>
        </is>
      </c>
      <c r="M25" s="200" t="inlineStr">
        <is>
          <t>R30-C15-A</t>
        </is>
      </c>
      <c r="N25" s="201" t="inlineStr">
        <is>
          <t>Ground — fastest forklift</t>
        </is>
      </c>
    </row>
    <row r="26" ht="19.5" customHeight="1">
      <c r="A26" s="180" t="n">
        <v>12</v>
      </c>
      <c r="B26" s="181" t="inlineStr">
        <is>
          <t>32134</t>
        </is>
      </c>
      <c r="C26" s="182" t="inlineStr">
        <is>
          <t>Lt Brown Muscovado 10-1lb</t>
        </is>
      </c>
      <c r="D26" s="191" t="inlineStr">
        <is>
          <t>C</t>
        </is>
      </c>
      <c r="E26" s="184" t="n">
        <v>328</v>
      </c>
      <c r="F26" s="185" t="n">
        <v>58</v>
      </c>
      <c r="G26" s="186" t="n">
        <v>5.7</v>
      </c>
      <c r="H26" s="185" t="n">
        <v>210</v>
      </c>
      <c r="I26" s="187" t="n">
        <v>0.2</v>
      </c>
      <c r="J26" s="181" t="n">
        <v>31</v>
      </c>
      <c r="K26" s="185" t="n">
        <v>9</v>
      </c>
      <c r="L26" s="188" t="inlineStr">
        <is>
          <t>B</t>
        </is>
      </c>
      <c r="M26" s="189" t="inlineStr">
        <is>
          <t>R31-C09-B</t>
        </is>
      </c>
      <c r="N26" s="190" t="inlineStr">
        <is>
          <t>Level 2 — fast access</t>
        </is>
      </c>
    </row>
    <row r="27" ht="19.5" customHeight="1">
      <c r="A27" s="193" t="n">
        <v>13</v>
      </c>
      <c r="B27" s="194" t="inlineStr">
        <is>
          <t>45036</t>
        </is>
      </c>
      <c r="C27" s="195" t="inlineStr">
        <is>
          <t>Org Sugar 6ct-2lb</t>
        </is>
      </c>
      <c r="D27" s="191" t="inlineStr">
        <is>
          <t>C</t>
        </is>
      </c>
      <c r="E27" s="196" t="n">
        <v>235</v>
      </c>
      <c r="F27" s="197" t="n">
        <v>43</v>
      </c>
      <c r="G27" s="198" t="n">
        <v>5.5</v>
      </c>
      <c r="H27" s="197" t="n">
        <v>156</v>
      </c>
      <c r="I27" s="199" t="n">
        <v>0.19</v>
      </c>
      <c r="J27" s="194" t="n">
        <v>31</v>
      </c>
      <c r="K27" s="197" t="n">
        <v>10</v>
      </c>
      <c r="L27" s="188" t="inlineStr">
        <is>
          <t>B</t>
        </is>
      </c>
      <c r="M27" s="200" t="inlineStr">
        <is>
          <t>R31-C10-B</t>
        </is>
      </c>
      <c r="N27" s="201" t="inlineStr">
        <is>
          <t>Level 2 — fast access</t>
        </is>
      </c>
    </row>
    <row r="28" ht="19.5" customHeight="1">
      <c r="A28" s="180" t="n">
        <v>14</v>
      </c>
      <c r="B28" s="181" t="inlineStr">
        <is>
          <t>32139</t>
        </is>
      </c>
      <c r="C28" s="182" t="inlineStr">
        <is>
          <t>Nat Demerara 10-1lb</t>
        </is>
      </c>
      <c r="D28" s="191" t="inlineStr">
        <is>
          <t>C</t>
        </is>
      </c>
      <c r="E28" s="184" t="n">
        <v>235</v>
      </c>
      <c r="F28" s="185" t="n">
        <v>38</v>
      </c>
      <c r="G28" s="186" t="n">
        <v>6.2</v>
      </c>
      <c r="H28" s="185" t="n">
        <v>210</v>
      </c>
      <c r="I28" s="187" t="n">
        <v>0.14</v>
      </c>
      <c r="J28" s="181" t="n">
        <v>30</v>
      </c>
      <c r="K28" s="185" t="n">
        <v>21</v>
      </c>
      <c r="L28" s="188" t="inlineStr">
        <is>
          <t>B</t>
        </is>
      </c>
      <c r="M28" s="189" t="inlineStr">
        <is>
          <t>R30-C21-B</t>
        </is>
      </c>
      <c r="N28" s="190" t="inlineStr">
        <is>
          <t>Level 2 — fast access</t>
        </is>
      </c>
    </row>
    <row r="29" ht="19.5" customHeight="1">
      <c r="A29" s="193" t="n">
        <v>15</v>
      </c>
      <c r="B29" s="194" t="inlineStr">
        <is>
          <t>20231</t>
        </is>
      </c>
      <c r="C29" s="195" t="inlineStr">
        <is>
          <t>Org Blue Agave 6-23.5oz</t>
        </is>
      </c>
      <c r="D29" s="191" t="inlineStr">
        <is>
          <t>C</t>
        </is>
      </c>
      <c r="E29" s="196" t="n">
        <v>217</v>
      </c>
      <c r="F29" s="197" t="n">
        <v>35</v>
      </c>
      <c r="G29" s="198" t="n">
        <v>6.2</v>
      </c>
      <c r="H29" s="197" t="n">
        <v>180</v>
      </c>
      <c r="I29" s="199" t="n">
        <v>0.15</v>
      </c>
      <c r="J29" s="194" t="n">
        <v>30</v>
      </c>
      <c r="K29" s="197" t="n">
        <v>23</v>
      </c>
      <c r="L29" s="188" t="inlineStr">
        <is>
          <t>B</t>
        </is>
      </c>
      <c r="M29" s="200" t="inlineStr">
        <is>
          <t>R30-C23-B</t>
        </is>
      </c>
      <c r="N29" s="201" t="inlineStr">
        <is>
          <t>Level 2 — fast access</t>
        </is>
      </c>
    </row>
    <row r="30" ht="19.5" customHeight="1">
      <c r="A30" s="180" t="n">
        <v>16</v>
      </c>
      <c r="B30" s="181" t="inlineStr">
        <is>
          <t>45641</t>
        </is>
      </c>
      <c r="C30" s="182" t="inlineStr">
        <is>
          <t>Regen Lt Brown Sugar 6ct</t>
        </is>
      </c>
      <c r="D30" s="191" t="inlineStr">
        <is>
          <t>C</t>
        </is>
      </c>
      <c r="E30" s="184" t="n">
        <v>172</v>
      </c>
      <c r="F30" s="185" t="n">
        <v>27</v>
      </c>
      <c r="G30" s="186" t="n">
        <v>6.4</v>
      </c>
      <c r="H30" s="185" t="n">
        <v>81</v>
      </c>
      <c r="I30" s="187" t="n">
        <v>0.27</v>
      </c>
      <c r="J30" s="181" t="n">
        <v>30</v>
      </c>
      <c r="K30" s="185" t="n">
        <v>25</v>
      </c>
      <c r="L30" s="188" t="inlineStr">
        <is>
          <t>B</t>
        </is>
      </c>
      <c r="M30" s="189" t="inlineStr">
        <is>
          <t>R30-C25-B</t>
        </is>
      </c>
      <c r="N30" s="190" t="inlineStr">
        <is>
          <t>Level 2 — fast access</t>
        </is>
      </c>
    </row>
    <row r="31" ht="19.5" customHeight="1">
      <c r="A31" s="193" t="n">
        <v>17</v>
      </c>
      <c r="B31" s="194" t="inlineStr">
        <is>
          <t>94660</t>
        </is>
      </c>
      <c r="C31" s="195" t="inlineStr">
        <is>
          <t>Org Stevia 6x6oz Jar</t>
        </is>
      </c>
      <c r="D31" s="191" t="inlineStr">
        <is>
          <t>C</t>
        </is>
      </c>
      <c r="E31" s="196" t="n">
        <v>169</v>
      </c>
      <c r="F31" s="197" t="n">
        <v>35</v>
      </c>
      <c r="G31" s="198" t="n">
        <v>4.8</v>
      </c>
      <c r="H31" s="197" t="n">
        <v>304</v>
      </c>
      <c r="I31" s="199" t="n">
        <v>0.07000000000000001</v>
      </c>
      <c r="J31" s="194" t="n">
        <v>30</v>
      </c>
      <c r="K31" s="197" t="n">
        <v>27</v>
      </c>
      <c r="L31" s="188" t="inlineStr">
        <is>
          <t>B</t>
        </is>
      </c>
      <c r="M31" s="200" t="inlineStr">
        <is>
          <t>R30-C27-B</t>
        </is>
      </c>
      <c r="N31" s="201" t="inlineStr">
        <is>
          <t>Level 2 — fast access</t>
        </is>
      </c>
    </row>
    <row r="32" ht="19.5" customHeight="1">
      <c r="A32" s="180" t="n">
        <v>18</v>
      </c>
      <c r="B32" s="181" t="inlineStr">
        <is>
          <t>32137</t>
        </is>
      </c>
      <c r="C32" s="182" t="inlineStr">
        <is>
          <t>Dk Brn Molasses 10-1lb</t>
        </is>
      </c>
      <c r="D32" s="191" t="inlineStr">
        <is>
          <t>C</t>
        </is>
      </c>
      <c r="E32" s="184" t="n">
        <v>166</v>
      </c>
      <c r="F32" s="185" t="n">
        <v>47</v>
      </c>
      <c r="G32" s="186" t="n">
        <v>3.5</v>
      </c>
      <c r="H32" s="185" t="n">
        <v>210</v>
      </c>
      <c r="I32" s="187" t="n">
        <v>0.1</v>
      </c>
      <c r="J32" s="181" t="n">
        <v>30</v>
      </c>
      <c r="K32" s="185" t="n">
        <v>29</v>
      </c>
      <c r="L32" s="188" t="inlineStr">
        <is>
          <t>B</t>
        </is>
      </c>
      <c r="M32" s="189" t="inlineStr">
        <is>
          <t>R30-C29-B</t>
        </is>
      </c>
      <c r="N32" s="190" t="inlineStr">
        <is>
          <t>Level 2 — fast access</t>
        </is>
      </c>
    </row>
    <row r="33" ht="19.5" customHeight="1">
      <c r="A33" s="193" t="n">
        <v>19</v>
      </c>
      <c r="B33" s="194" t="inlineStr">
        <is>
          <t>89416</t>
        </is>
      </c>
      <c r="C33" s="195" t="inlineStr">
        <is>
          <t>FT Raw Honey 6-16oz Sqz</t>
        </is>
      </c>
      <c r="D33" s="191" t="inlineStr">
        <is>
          <t>C</t>
        </is>
      </c>
      <c r="E33" s="196" t="n">
        <v>157</v>
      </c>
      <c r="F33" s="197" t="n">
        <v>32</v>
      </c>
      <c r="G33" s="198" t="n">
        <v>4.9</v>
      </c>
      <c r="H33" s="197" t="n">
        <v>329</v>
      </c>
      <c r="I33" s="199" t="n">
        <v>0.06</v>
      </c>
      <c r="J33" s="194" t="n">
        <v>30</v>
      </c>
      <c r="K33" s="197" t="n">
        <v>31</v>
      </c>
      <c r="L33" s="188" t="inlineStr">
        <is>
          <t>B</t>
        </is>
      </c>
      <c r="M33" s="200" t="inlineStr">
        <is>
          <t>R30-C31-B</t>
        </is>
      </c>
      <c r="N33" s="201" t="inlineStr">
        <is>
          <t>Level 2 — fast access</t>
        </is>
      </c>
    </row>
    <row r="34" ht="19.5" customHeight="1">
      <c r="A34" s="180" t="n">
        <v>20</v>
      </c>
      <c r="B34" s="181" t="inlineStr">
        <is>
          <t>21442</t>
        </is>
      </c>
      <c r="C34" s="182" t="inlineStr">
        <is>
          <t>Org Raw Agave 6-44oz</t>
        </is>
      </c>
      <c r="D34" s="191" t="inlineStr">
        <is>
          <t>C</t>
        </is>
      </c>
      <c r="E34" s="184" t="n">
        <v>147</v>
      </c>
      <c r="F34" s="185" t="n">
        <v>38</v>
      </c>
      <c r="G34" s="186" t="n">
        <v>3.9</v>
      </c>
      <c r="H34" s="185" t="n">
        <v>16</v>
      </c>
      <c r="I34" s="187" t="n">
        <v>1.15</v>
      </c>
      <c r="J34" s="181" t="n">
        <v>31</v>
      </c>
      <c r="K34" s="185" t="n">
        <v>1</v>
      </c>
      <c r="L34" s="202" t="inlineStr">
        <is>
          <t>C</t>
        </is>
      </c>
      <c r="M34" s="189" t="inlineStr">
        <is>
          <t>R31-C01-C</t>
        </is>
      </c>
      <c r="N34" s="190" t="inlineStr">
        <is>
          <t>Level 3 — moderate reach</t>
        </is>
      </c>
    </row>
    <row r="35" ht="19.5" customHeight="1">
      <c r="A35" s="193" t="n">
        <v>21</v>
      </c>
      <c r="B35" s="194" t="inlineStr">
        <is>
          <t>44471</t>
        </is>
      </c>
      <c r="C35" s="195" t="inlineStr">
        <is>
          <t>FT Org Raw Turb 12-1.5lb</t>
        </is>
      </c>
      <c r="D35" s="191" t="inlineStr">
        <is>
          <t>C</t>
        </is>
      </c>
      <c r="E35" s="196" t="n">
        <v>124</v>
      </c>
      <c r="F35" s="197" t="n">
        <v>38</v>
      </c>
      <c r="G35" s="198" t="n">
        <v>3.3</v>
      </c>
      <c r="H35" s="197" t="n">
        <v>100</v>
      </c>
      <c r="I35" s="199" t="n">
        <v>0.16</v>
      </c>
      <c r="J35" s="194" t="n">
        <v>31</v>
      </c>
      <c r="K35" s="197" t="n">
        <v>2</v>
      </c>
      <c r="L35" s="202" t="inlineStr">
        <is>
          <t>C</t>
        </is>
      </c>
      <c r="M35" s="200" t="inlineStr">
        <is>
          <t>R31-C02-C</t>
        </is>
      </c>
      <c r="N35" s="201" t="inlineStr">
        <is>
          <t>Level 3 — moderate reach</t>
        </is>
      </c>
    </row>
    <row r="36" ht="19.5" customHeight="1">
      <c r="A36" s="180" t="n">
        <v>22</v>
      </c>
      <c r="B36" s="181" t="inlineStr">
        <is>
          <t>30010</t>
        </is>
      </c>
      <c r="C36" s="182" t="inlineStr">
        <is>
          <t>Org Corn Syrup 6-11.75oz</t>
        </is>
      </c>
      <c r="D36" s="191" t="inlineStr">
        <is>
          <t>C</t>
        </is>
      </c>
      <c r="E36" s="184" t="n">
        <v>108</v>
      </c>
      <c r="F36" s="185" t="n">
        <v>47</v>
      </c>
      <c r="G36" s="186" t="n">
        <v>2.3</v>
      </c>
      <c r="H36" s="185" t="n">
        <v>130</v>
      </c>
      <c r="I36" s="187" t="n">
        <v>0.1</v>
      </c>
      <c r="J36" s="181" t="n">
        <v>31</v>
      </c>
      <c r="K36" s="185" t="n">
        <v>3</v>
      </c>
      <c r="L36" s="202" t="inlineStr">
        <is>
          <t>C</t>
        </is>
      </c>
      <c r="M36" s="189" t="inlineStr">
        <is>
          <t>R31-C03-C</t>
        </is>
      </c>
      <c r="N36" s="190" t="inlineStr">
        <is>
          <t>Level 3 — moderate reach</t>
        </is>
      </c>
    </row>
    <row r="37" ht="19.5" customHeight="1">
      <c r="A37" s="193" t="n">
        <v>23</v>
      </c>
      <c r="B37" s="194" t="inlineStr">
        <is>
          <t>89167</t>
        </is>
      </c>
      <c r="C37" s="195" t="inlineStr">
        <is>
          <t>FT Org Honey 6-16oz Sqz</t>
        </is>
      </c>
      <c r="D37" s="191" t="inlineStr">
        <is>
          <t>C</t>
        </is>
      </c>
      <c r="E37" s="196" t="n">
        <v>97</v>
      </c>
      <c r="F37" s="197" t="n">
        <v>22</v>
      </c>
      <c r="G37" s="198" t="n">
        <v>4.4</v>
      </c>
      <c r="H37" s="197" t="n">
        <v>329</v>
      </c>
      <c r="I37" s="199" t="n">
        <v>0.04</v>
      </c>
      <c r="J37" s="194" t="n">
        <v>31</v>
      </c>
      <c r="K37" s="197" t="n">
        <v>4</v>
      </c>
      <c r="L37" s="202" t="inlineStr">
        <is>
          <t>C</t>
        </is>
      </c>
      <c r="M37" s="200" t="inlineStr">
        <is>
          <t>R31-C04-C</t>
        </is>
      </c>
      <c r="N37" s="201" t="inlineStr">
        <is>
          <t>Level 3 — moderate reach</t>
        </is>
      </c>
    </row>
    <row r="38" ht="19.5" customHeight="1">
      <c r="A38" s="180" t="n">
        <v>24</v>
      </c>
      <c r="B38" s="181" t="inlineStr">
        <is>
          <t>89247</t>
        </is>
      </c>
      <c r="C38" s="182" t="inlineStr">
        <is>
          <t>FT Org Honey 6-24oz Sqz</t>
        </is>
      </c>
      <c r="D38" s="191" t="inlineStr">
        <is>
          <t>C</t>
        </is>
      </c>
      <c r="E38" s="184" t="n">
        <v>92</v>
      </c>
      <c r="F38" s="185" t="n">
        <v>31</v>
      </c>
      <c r="G38" s="186" t="n">
        <v>3</v>
      </c>
      <c r="H38" s="185" t="n">
        <v>180</v>
      </c>
      <c r="I38" s="187" t="n">
        <v>0.06</v>
      </c>
      <c r="J38" s="181" t="n">
        <v>31</v>
      </c>
      <c r="K38" s="185" t="n">
        <v>5</v>
      </c>
      <c r="L38" s="202" t="inlineStr">
        <is>
          <t>C</t>
        </is>
      </c>
      <c r="M38" s="189" t="inlineStr">
        <is>
          <t>R31-C05-C</t>
        </is>
      </c>
      <c r="N38" s="190" t="inlineStr">
        <is>
          <t>Level 3 — moderate reach</t>
        </is>
      </c>
    </row>
    <row r="39" ht="19.5" customHeight="1">
      <c r="A39" s="193" t="n">
        <v>25</v>
      </c>
      <c r="B39" s="194" t="inlineStr">
        <is>
          <t>89168</t>
        </is>
      </c>
      <c r="C39" s="195" t="inlineStr">
        <is>
          <t>Org White Honey 16oz</t>
        </is>
      </c>
      <c r="D39" s="191" t="inlineStr">
        <is>
          <t>C</t>
        </is>
      </c>
      <c r="E39" s="196" t="n">
        <v>80</v>
      </c>
      <c r="F39" s="197" t="n">
        <v>32</v>
      </c>
      <c r="G39" s="198" t="n">
        <v>2.5</v>
      </c>
      <c r="H39" s="197" t="n">
        <v>180</v>
      </c>
      <c r="I39" s="199" t="n">
        <v>0.06</v>
      </c>
      <c r="J39" s="194" t="n">
        <v>31</v>
      </c>
      <c r="K39" s="197" t="n">
        <v>6</v>
      </c>
      <c r="L39" s="202" t="inlineStr">
        <is>
          <t>C</t>
        </is>
      </c>
      <c r="M39" s="200" t="inlineStr">
        <is>
          <t>R31-C06-C</t>
        </is>
      </c>
      <c r="N39" s="201" t="inlineStr">
        <is>
          <t>Level 3 — moderate reach</t>
        </is>
      </c>
    </row>
  </sheetData>
  <mergeCells count="4">
    <mergeCell ref="A3:Q3"/>
    <mergeCell ref="A2:Q2"/>
    <mergeCell ref="A1:Q1"/>
    <mergeCell ref="A13:Q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opLeftCell="A2" zoomScaleNormal="100" workbookViewId="0">
      <selection activeCell="A1" sqref="A1:L1"/>
    </sheetView>
  </sheetViews>
  <sheetFormatPr baseColWidth="8" defaultColWidth="8.5703125" defaultRowHeight="14.45"/>
  <cols>
    <col width="14" customWidth="1" min="1" max="12"/>
  </cols>
  <sheetData>
    <row r="1" ht="33.75" customHeight="1">
      <c r="A1" s="275" t="inlineStr">
        <is>
          <t>📝  DESIGN C RATIONALE — Velocity-Tiered Layout</t>
        </is>
      </c>
    </row>
    <row r="3" ht="19.5" customHeight="1">
      <c r="A3" s="276" t="inlineStr">
        <is>
          <t>CORE PRINCIPLE</t>
        </is>
      </c>
      <c r="B3" s="284" t="n"/>
      <c r="C3" s="284" t="n"/>
      <c r="D3" s="284" t="n"/>
      <c r="E3" s="284" t="n"/>
      <c r="F3" s="284" t="n"/>
      <c r="G3" s="284" t="n"/>
      <c r="H3" s="284" t="n"/>
      <c r="I3" s="284" t="n"/>
      <c r="J3" s="284" t="n"/>
      <c r="K3" s="284" t="n"/>
      <c r="L3" s="284" t="n"/>
    </row>
    <row r="4" ht="43.5" customHeight="1">
      <c r="A4" s="277" t="inlineStr">
        <is>
          <t>Rack 30 is structured strictly by velocity class, not by customer. All A-class SKUs (highest volume) occupy the first columns closest to the staging/dock area at Level A. All B-class follow in the next columns. C-class SKUs move to Rack 31 entirely.</t>
        </is>
      </c>
      <c r="B4" s="284" t="n"/>
      <c r="C4" s="284" t="n"/>
      <c r="D4" s="284" t="n"/>
      <c r="E4" s="284" t="n"/>
      <c r="F4" s="284" t="n"/>
      <c r="G4" s="284" t="n"/>
      <c r="H4" s="284" t="n"/>
      <c r="I4" s="284" t="n"/>
      <c r="J4" s="284" t="n"/>
      <c r="K4" s="284" t="n"/>
      <c r="L4" s="284" t="n"/>
    </row>
    <row r="5" ht="6" customHeight="1"/>
    <row r="6" ht="19.5" customHeight="1">
      <c r="A6" s="276" t="inlineStr">
        <is>
          <t>RACK 30 — A-CLASS ZONE (Cols 1–7)</t>
        </is>
      </c>
      <c r="B6" s="284" t="n"/>
      <c r="C6" s="284" t="n"/>
      <c r="D6" s="284" t="n"/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43.5" customHeight="1">
      <c r="A7" s="277" t="inlineStr">
        <is>
          <t>4 A-class SKUs (62632 Target, 95612 Amazon, 45022 Amazon, 32004 Amazon) fill the first 4 odd columns of Rack 30 at Level A AND Level B — double-facing the highest movers creates a buffer stock and reduces replenishment interruptions during active pick sessions.</t>
        </is>
      </c>
      <c r="B7" s="284" t="n"/>
      <c r="C7" s="284" t="n"/>
      <c r="D7" s="284" t="n"/>
      <c r="E7" s="284" t="n"/>
      <c r="F7" s="284" t="n"/>
      <c r="G7" s="284" t="n"/>
      <c r="H7" s="284" t="n"/>
      <c r="I7" s="284" t="n"/>
      <c r="J7" s="284" t="n"/>
      <c r="K7" s="284" t="n"/>
      <c r="L7" s="284" t="n"/>
    </row>
    <row r="8" ht="6" customHeight="1"/>
    <row r="9" ht="19.5" customHeight="1">
      <c r="A9" s="276" t="inlineStr">
        <is>
          <t>RACK 30 — B-CLASS ZONE (Cols 9–21)</t>
        </is>
      </c>
      <c r="B9" s="284" t="n"/>
      <c r="C9" s="284" t="n"/>
      <c r="D9" s="284" t="n"/>
      <c r="E9" s="284" t="n"/>
      <c r="F9" s="284" t="n"/>
      <c r="G9" s="284" t="n"/>
      <c r="H9" s="284" t="n"/>
      <c r="I9" s="284" t="n"/>
      <c r="J9" s="284" t="n"/>
      <c r="K9" s="284" t="n"/>
      <c r="L9" s="284" t="n"/>
    </row>
    <row r="10" ht="43.5" customHeight="1">
      <c r="A10" s="277" t="inlineStr">
        <is>
          <t>7 B-class SKUs (62641, 62004 Target; 95812, 46410, 45021, 44652 Amazon) occupy the next columns at Level A. Travel from the A-zone to B-zone is minimal — still within Rack 30, same aisle.</t>
        </is>
      </c>
      <c r="B10" s="284" t="n"/>
      <c r="C10" s="284" t="n"/>
      <c r="D10" s="284" t="n"/>
      <c r="E10" s="284" t="n"/>
      <c r="F10" s="284" t="n"/>
      <c r="G10" s="284" t="n"/>
      <c r="H10" s="284" t="n"/>
      <c r="I10" s="284" t="n"/>
      <c r="J10" s="284" t="n"/>
      <c r="K10" s="284" t="n"/>
      <c r="L10" s="284" t="n"/>
    </row>
    <row r="11" ht="6" customHeight="1"/>
    <row r="12" ht="19.5" customHeight="1">
      <c r="A12" s="276" t="inlineStr">
        <is>
          <t>RACK 31 — C-CLASS ZONE</t>
        </is>
      </c>
      <c r="B12" s="284" t="n"/>
      <c r="C12" s="284" t="n"/>
      <c r="D12" s="284" t="n"/>
      <c r="E12" s="284" t="n"/>
      <c r="F12" s="284" t="n"/>
      <c r="G12" s="284" t="n"/>
      <c r="H12" s="284" t="n"/>
      <c r="I12" s="284" t="n"/>
      <c r="J12" s="284" t="n"/>
      <c r="K12" s="284" t="n"/>
      <c r="L12" s="284" t="n"/>
    </row>
    <row r="13" ht="43.5" customHeight="1">
      <c r="A13" s="277" t="inlineStr">
        <is>
          <t>All 17 C-class SKUs (5 Target + 12 Amazon) are consolidated in Rack 31, sorted by cases/week descending. Highest-volume C-class (62106, 62231) at Level A cols 1–2. Mid-C at Level B. Tail items at Level C. Pickers only visit Rack 31 for low-frequency C-class picks — total trip count is low so the extra travel is acceptable.</t>
        </is>
      </c>
      <c r="B13" s="284" t="n"/>
      <c r="C13" s="284" t="n"/>
      <c r="D13" s="284" t="n"/>
      <c r="E13" s="284" t="n"/>
      <c r="F13" s="284" t="n"/>
      <c r="G13" s="284" t="n"/>
      <c r="H13" s="284" t="n"/>
      <c r="I13" s="284" t="n"/>
      <c r="J13" s="284" t="n"/>
      <c r="K13" s="284" t="n"/>
      <c r="L13" s="284" t="n"/>
    </row>
    <row r="14" ht="6" customHeight="1"/>
    <row r="15" ht="19.5" customHeight="1">
      <c r="A15" s="276" t="inlineStr">
        <is>
          <t>KEY ADVANTAGE vs Design A &amp; B</t>
        </is>
      </c>
      <c r="B15" s="284" t="n"/>
      <c r="C15" s="284" t="n"/>
      <c r="D15" s="284" t="n"/>
      <c r="E15" s="284" t="n"/>
      <c r="F15" s="284" t="n"/>
      <c r="G15" s="284" t="n"/>
      <c r="H15" s="284" t="n"/>
      <c r="I15" s="284" t="n"/>
      <c r="J15" s="284" t="n"/>
      <c r="K15" s="284" t="n"/>
      <c r="L15" s="284" t="n"/>
    </row>
    <row r="16" ht="43.5" customHeight="1">
      <c r="A16" s="277" t="inlineStr">
        <is>
          <t>Design A and B both scatter C-class Target and Amazon SKUs across both racks. Design C consolidates all low-velocity SKUs in one rack — Rack 31 becomes a dedicated 'reserve rack'. This means pickers almost never need to travel to Rack 31 during a typical batch, since most order volume comes from A+B class.</t>
        </is>
      </c>
      <c r="B16" s="284" t="n"/>
      <c r="C16" s="284" t="n"/>
      <c r="D16" s="284" t="n"/>
      <c r="E16" s="284" t="n"/>
      <c r="F16" s="284" t="n"/>
      <c r="G16" s="284" t="n"/>
      <c r="H16" s="284" t="n"/>
      <c r="I16" s="284" t="n"/>
      <c r="J16" s="284" t="n"/>
      <c r="K16" s="284" t="n"/>
      <c r="L16" s="284" t="n"/>
    </row>
    <row r="17" ht="6" customHeight="1"/>
    <row r="18" ht="19.5" customHeight="1">
      <c r="A18" s="276" t="inlineStr">
        <is>
          <t>TRADE-OFF</t>
        </is>
      </c>
      <c r="B18" s="284" t="n"/>
      <c r="C18" s="284" t="n"/>
      <c r="D18" s="284" t="n"/>
      <c r="E18" s="284" t="n"/>
      <c r="F18" s="284" t="n"/>
      <c r="G18" s="284" t="n"/>
      <c r="H18" s="284" t="n"/>
      <c r="I18" s="284" t="n"/>
      <c r="J18" s="284" t="n"/>
      <c r="K18" s="284" t="n"/>
      <c r="L18" s="284" t="n"/>
    </row>
    <row r="19" ht="43.5" customHeight="1">
      <c r="A19" s="277" t="inlineStr">
        <is>
          <t>Mixed-customer Rack 30 means a picker could touch both Target and Amazon SKUs in one trip — useful for combined orders or restocking. However, if Target and Amazon runs are always separate batches, Design B's customer-separated approach may be cleaner operationally.</t>
        </is>
      </c>
      <c r="B19" s="284" t="n"/>
      <c r="C19" s="284" t="n"/>
      <c r="D19" s="284" t="n"/>
      <c r="E19" s="284" t="n"/>
      <c r="F19" s="284" t="n"/>
      <c r="G19" s="284" t="n"/>
      <c r="H19" s="284" t="n"/>
      <c r="I19" s="284" t="n"/>
      <c r="J19" s="284" t="n"/>
      <c r="K19" s="284" t="n"/>
      <c r="L19" s="284" t="n"/>
    </row>
    <row r="20" ht="6" customHeight="1"/>
    <row r="21" ht="19.5" customHeight="1">
      <c r="A21" s="276" t="inlineStr">
        <is>
          <t>NVA IMPACT</t>
        </is>
      </c>
      <c r="B21" s="284" t="n"/>
      <c r="C21" s="284" t="n"/>
      <c r="D21" s="284" t="n"/>
      <c r="E21" s="284" t="n"/>
      <c r="F21" s="284" t="n"/>
      <c r="G21" s="284" t="n"/>
      <c r="H21" s="284" t="n"/>
      <c r="I21" s="284" t="n"/>
      <c r="J21" s="284" t="n"/>
      <c r="K21" s="284" t="n"/>
      <c r="L21" s="284" t="n"/>
    </row>
    <row r="22" ht="43.5" customHeight="1">
      <c r="A22" s="277" t="inlineStr">
        <is>
          <t>Eliminates same NVA steps as Designs A/B (78% NVA reduction). Additionally reduces travel for mixed-customer orders. The double-facing of A-class SKUs at Level A+B adds buffer stock and reduces replenishment-caused interruptions during active picks — improving throughput in peak periods.</t>
        </is>
      </c>
      <c r="B22" s="284" t="n"/>
      <c r="C22" s="284" t="n"/>
      <c r="D22" s="284" t="n"/>
      <c r="E22" s="284" t="n"/>
      <c r="F22" s="284" t="n"/>
      <c r="G22" s="284" t="n"/>
      <c r="H22" s="284" t="n"/>
      <c r="I22" s="284" t="n"/>
      <c r="J22" s="284" t="n"/>
      <c r="K22" s="284" t="n"/>
      <c r="L22" s="284" t="n"/>
    </row>
    <row r="23" ht="6" customHeight="1"/>
  </sheetData>
  <mergeCells count="15">
    <mergeCell ref="A16:L16"/>
    <mergeCell ref="A15:L15"/>
    <mergeCell ref="A10:L10"/>
    <mergeCell ref="A7:L7"/>
    <mergeCell ref="A19:L19"/>
    <mergeCell ref="A1:L1"/>
    <mergeCell ref="A13:L13"/>
    <mergeCell ref="A6:L6"/>
    <mergeCell ref="A22:L22"/>
    <mergeCell ref="A18:L18"/>
    <mergeCell ref="A9:L9"/>
    <mergeCell ref="A3:L3"/>
    <mergeCell ref="A21:L21"/>
    <mergeCell ref="A12:L12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zoomScaleNormal="100" workbookViewId="0">
      <selection activeCell="B16" sqref="B16"/>
    </sheetView>
  </sheetViews>
  <sheetFormatPr baseColWidth="8" defaultColWidth="8.5703125" defaultRowHeight="14.45"/>
  <cols>
    <col width="28" customWidth="1" min="1" max="1"/>
    <col width="30" customWidth="1" min="2" max="5"/>
  </cols>
  <sheetData>
    <row r="1" ht="33.75" customHeight="1">
      <c r="A1" s="278" t="inlineStr">
        <is>
          <t>THREE-DESIGN COMPARISON Rack 30 &amp; 31 Layout Alternatives  |  Cadeco Industries · Team 7</t>
        </is>
      </c>
    </row>
    <row r="2" ht="15.75" customHeight="1">
      <c r="A2" s="279" t="inlineStr">
        <is>
          <t>Design A (existing) · Design B (Customer-Separated) · Design C (Velocity-Tiered)  |  Select the best fit for your operations</t>
        </is>
      </c>
    </row>
    <row r="3" ht="7.5" customHeight="1"/>
    <row r="4" ht="21.75" customHeight="1">
      <c r="A4" s="280" t="inlineStr">
        <is>
          <t>COMPARISON MATRIX</t>
        </is>
      </c>
    </row>
    <row r="5" ht="33.75" customHeight="1">
      <c r="A5" s="159" t="inlineStr">
        <is>
          <t>Criterion</t>
        </is>
      </c>
      <c r="B5" s="159" t="inlineStr">
        <is>
          <t>Design A (Original)
Mixed / ABC Priority</t>
        </is>
      </c>
      <c r="C5" s="159" t="inlineStr">
        <is>
          <t>Design B
Customer-Separated Zones</t>
        </is>
      </c>
      <c r="D5" s="206" t="inlineStr">
        <is>
          <t>Design C
Velocity-Tiered Rows</t>
        </is>
      </c>
      <c r="E5" s="208" t="n"/>
    </row>
    <row r="6" ht="37.5" customHeight="1">
      <c r="A6" s="203" t="inlineStr">
        <is>
          <t>Rack 30 Concept</t>
        </is>
      </c>
      <c r="B6" s="204" t="inlineStr">
        <is>
          <t>Top-velocity SKUs by ABC, both customers mixed</t>
        </is>
      </c>
      <c r="C6" s="205" t="inlineStr">
        <is>
          <t>TARGET only (all 7 SKUs)</t>
        </is>
      </c>
      <c r="D6" s="207" t="inlineStr">
        <is>
          <t>ALL A-class (Target + Amazon), then B-class</t>
        </is>
      </c>
      <c r="E6" s="209" t="n"/>
    </row>
    <row r="7" ht="37.5" customHeight="1">
      <c r="A7" s="203" t="inlineStr">
        <is>
          <t>Rack 31 Concept</t>
        </is>
      </c>
      <c r="B7" s="204" t="inlineStr">
        <is>
          <t>Remaining SKUs, mixed, C-class at higher levels</t>
        </is>
      </c>
      <c r="C7" s="205" t="inlineStr">
        <is>
          <t>AMAZON only (all 25 SKUs)</t>
        </is>
      </c>
      <c r="D7" s="207" t="inlineStr">
        <is>
          <t>ALL C-class (Target + Amazon)</t>
        </is>
      </c>
      <c r="E7" s="209" t="n"/>
    </row>
    <row r="8" ht="37.5" customHeight="1">
      <c r="A8" s="203" t="inlineStr">
        <is>
          <t>A-class Level</t>
        </is>
      </c>
      <c r="B8" s="204" t="inlineStr">
        <is>
          <t>Level A (ground)</t>
        </is>
      </c>
      <c r="C8" s="205" t="inlineStr">
        <is>
          <t>Level A (ground)</t>
        </is>
      </c>
      <c r="D8" s="207" t="inlineStr">
        <is>
          <t>Level A + B (double-faced for buffer)</t>
        </is>
      </c>
      <c r="E8" s="209" t="n"/>
    </row>
    <row r="9" ht="37.5" customHeight="1">
      <c r="A9" s="203" t="inlineStr">
        <is>
          <t>B-class Level</t>
        </is>
      </c>
      <c r="B9" s="204" t="inlineStr">
        <is>
          <t>Level B</t>
        </is>
      </c>
      <c r="C9" s="205" t="inlineStr">
        <is>
          <t>Level A (upgraded)</t>
        </is>
      </c>
      <c r="D9" s="207" t="inlineStr">
        <is>
          <t>Level A</t>
        </is>
      </c>
      <c r="E9" s="209" t="n"/>
    </row>
    <row r="10" ht="37.5" customHeight="1">
      <c r="A10" s="203" t="inlineStr">
        <is>
          <t>C-class Level</t>
        </is>
      </c>
      <c r="B10" s="204" t="inlineStr">
        <is>
          <t>Level C</t>
        </is>
      </c>
      <c r="C10" s="205" t="inlineStr">
        <is>
          <t>Level B (Rack 31)</t>
        </is>
      </c>
      <c r="D10" s="207" t="inlineStr">
        <is>
          <t>Level A→B→C in Rack 31</t>
        </is>
      </c>
      <c r="E10" s="209" t="n"/>
    </row>
    <row r="11" ht="37.5" customHeight="1">
      <c r="A11" s="203" t="inlineStr">
        <is>
          <t>Batch isolation
(Target vs Amazon)</t>
        </is>
      </c>
      <c r="B11" s="204" t="inlineStr">
        <is>
          <t>Both racks touched per batch</t>
        </is>
      </c>
      <c r="C11" s="205" t="inlineStr">
        <is>
          <t>One rack per customer</t>
        </is>
      </c>
      <c r="D11" s="207" t="inlineStr">
        <is>
          <t>Same rack, mixed customers</t>
        </is>
      </c>
      <c r="E11" s="209" t="n"/>
    </row>
    <row r="12" ht="37.5" customHeight="1">
      <c r="A12" s="203" t="inlineStr">
        <is>
          <t>Cross-rack travel
during a batch</t>
        </is>
      </c>
      <c r="B12" s="204" t="inlineStr">
        <is>
          <t>Moderate — depends on SKU mix</t>
        </is>
      </c>
      <c r="C12" s="205" t="inlineStr">
        <is>
          <t>None within a customer run</t>
        </is>
      </c>
      <c r="D12" s="207" t="inlineStr">
        <is>
          <t>Minimal - C-class in Rack 31 rarely needed</t>
        </is>
      </c>
      <c r="E12" s="209" t="n"/>
    </row>
    <row r="13" ht="37.5" customHeight="1">
      <c r="A13" s="203" t="inlineStr">
        <is>
          <t>Replenishment
buffer stock</t>
        </is>
      </c>
      <c r="B13" s="204" t="inlineStr">
        <is>
          <t>Standard -1 cell per SKU</t>
        </is>
      </c>
      <c r="C13" s="205" t="inlineStr">
        <is>
          <t>Standard — 1 cell per SKU</t>
        </is>
      </c>
      <c r="D13" s="207" t="inlineStr">
        <is>
          <t>A-class double-faced → built-in buffer</t>
        </is>
      </c>
      <c r="E13" s="209" t="n"/>
    </row>
    <row r="14" ht="37.5" customHeight="1">
      <c r="A14" s="203" t="inlineStr">
        <is>
          <t>Ease of operator
training</t>
        </is>
      </c>
      <c r="B14" s="204" t="inlineStr">
        <is>
          <t>Medium - ABC logic across both racks</t>
        </is>
      </c>
      <c r="C14" s="205" t="inlineStr">
        <is>
          <t>High — 'Target = Rack 30, Amazon = Rack 31'</t>
        </is>
      </c>
      <c r="D14" s="207" t="inlineStr">
        <is>
          <t>Medium — velocity logic; mixed customers per rack</t>
        </is>
      </c>
      <c r="E14" s="209" t="n"/>
    </row>
    <row r="15" ht="37.5" customHeight="1">
      <c r="A15" s="203" t="inlineStr">
        <is>
          <t>Expansion flexibility
(new SKUs)</t>
        </is>
      </c>
      <c r="B15" s="204" t="inlineStr">
        <is>
          <t>Limited -racks already mixed</t>
        </is>
      </c>
      <c r="C15" s="205" t="inlineStr">
        <is>
          <t>Rack 30 has 9 free columns for Target growth</t>
        </is>
      </c>
      <c r="D15" s="207" t="inlineStr">
        <is>
          <t>Rack 31 Level C has spare cells for new C-class</t>
        </is>
      </c>
      <c r="E15" s="209" t="n"/>
    </row>
    <row r="16" ht="37.5" customHeight="1">
      <c r="A16" s="203" t="inlineStr">
        <is>
          <t>Best suited when...</t>
        </is>
      </c>
      <c r="B16" s="204" t="inlineStr">
        <is>
          <t>Batches always mixed Target + Amazon; small team</t>
        </is>
      </c>
      <c r="C16" s="205" t="inlineStr">
        <is>
          <t>Target &amp; Amazon runs are separate batches; larger team</t>
        </is>
      </c>
      <c r="D16" s="207" t="inlineStr">
        <is>
          <t>Peak periods with high A-class volume; combined orders</t>
        </is>
      </c>
      <c r="E16" s="209" t="n"/>
    </row>
    <row r="17" ht="37.5" customHeight="1">
      <c r="A17" s="203" t="inlineStr">
        <is>
          <t>NVA reduction
(vs current state)</t>
        </is>
      </c>
      <c r="B17" s="204" t="inlineStr">
        <is>
          <t>78% (eliminates search + redo picks + alt labels)</t>
        </is>
      </c>
      <c r="C17" s="205" t="inlineStr">
        <is>
          <t>78% + eliminates cross-rack confusion</t>
        </is>
      </c>
      <c r="D17" s="207" t="inlineStr">
        <is>
          <t>78% + reduces replenishment stops for A-class</t>
        </is>
      </c>
      <c r="E17" s="209" t="n"/>
    </row>
    <row r="18" ht="37.5" customHeight="1">
      <c r="A18" s="203" t="inlineStr">
        <is>
          <t>Recommended for
Cadeco team 7</t>
        </is>
      </c>
      <c r="B18" s="204" t="inlineStr">
        <is>
          <t>Current baseline design</t>
        </is>
      </c>
      <c r="C18" s="205" t="inlineStr">
        <is>
          <t>Best if Target/Amazon batches are separate</t>
        </is>
      </c>
      <c r="D18" s="207" t="inlineStr">
        <is>
          <t>Best for peak volume or combined order batches</t>
        </is>
      </c>
      <c r="E18" s="209" t="n"/>
    </row>
    <row r="21" ht="21.75" customHeight="1">
      <c r="A21" s="281" t="n"/>
    </row>
  </sheetData>
  <mergeCells count="4">
    <mergeCell ref="A21:E21"/>
    <mergeCell ref="A4:N4"/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2026-04-05T15:23:07Z</dcterms:created>
  <dcterms:modified xmlns:dcterms="http://purl.org/dc/terms/" xmlns:xsi="http://www.w3.org/2001/XMLSchema-instance" xsi:type="dcterms:W3CDTF">2026-04-26T01:25:01Z</dcterms:modified>
  <cp:lastModifiedBy>Bayona Molano, Alexandra V</cp:lastModifiedBy>
  <cp:revision>0</cp:revision>
</cp:coreProperties>
</file>